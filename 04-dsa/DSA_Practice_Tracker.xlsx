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iya\java-full-stack-journey\04-dsa\"/>
    </mc:Choice>
  </mc:AlternateContent>
  <xr:revisionPtr revIDLastSave="0" documentId="13_ncr:1_{851CD429-A7E9-4931-9503-B9E8746F87B1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ummary" sheetId="1" r:id="rId1"/>
    <sheet name="Logic Building" sheetId="2" r:id="rId2"/>
    <sheet name="Logic Plan &amp; Interview" sheetId="3" r:id="rId3"/>
    <sheet name="LeetCode Tracker" sheetId="4" r:id="rId4"/>
    <sheet name="Extra Practice" sheetId="5" r:id="rId5"/>
  </sheets>
  <definedNames>
    <definedName name="_xlnm._FilterDatabase" localSheetId="4" hidden="1">'Extra Practice'!$A$1:$H$130</definedName>
    <definedName name="_xlnm._FilterDatabase" localSheetId="3" hidden="1">'LeetCode Tracker'!$A$1:$J$209</definedName>
    <definedName name="_xlnm._FilterDatabase" localSheetId="1" hidden="1">'Logic Building'!$A$1:$H$90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1" l="1"/>
  <c r="B36" i="1"/>
  <c r="B35" i="1"/>
  <c r="C34" i="1"/>
  <c r="B34" i="1"/>
  <c r="C31" i="1"/>
  <c r="B31" i="1"/>
  <c r="C30" i="1"/>
  <c r="B30" i="1"/>
  <c r="C29" i="1"/>
  <c r="E29" i="1" s="1"/>
  <c r="B29" i="1"/>
  <c r="D29" i="1" s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26" i="1" l="1"/>
  <c r="E25" i="1"/>
  <c r="D25" i="1"/>
  <c r="E36" i="1"/>
  <c r="D36" i="1"/>
  <c r="E34" i="1"/>
  <c r="D34" i="1"/>
  <c r="E31" i="1"/>
  <c r="D31" i="1"/>
  <c r="E30" i="1"/>
  <c r="D30" i="1"/>
  <c r="D24" i="1"/>
  <c r="E24" i="1"/>
  <c r="E23" i="1"/>
  <c r="D23" i="1"/>
  <c r="E22" i="1"/>
  <c r="D22" i="1"/>
  <c r="E21" i="1"/>
  <c r="D21" i="1"/>
  <c r="D20" i="1"/>
  <c r="E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D10" i="1"/>
  <c r="E10" i="1"/>
  <c r="E9" i="1"/>
  <c r="D9" i="1"/>
  <c r="E8" i="1"/>
  <c r="D8" i="1"/>
  <c r="D7" i="1"/>
  <c r="E7" i="1"/>
  <c r="E6" i="1"/>
  <c r="D6" i="1"/>
  <c r="B26" i="1"/>
  <c r="E5" i="1"/>
  <c r="D5" i="1"/>
  <c r="D26" i="1" l="1"/>
  <c r="E26" i="1"/>
</calcChain>
</file>

<file path=xl/sharedStrings.xml><?xml version="1.0" encoding="utf-8"?>
<sst xmlns="http://schemas.openxmlformats.org/spreadsheetml/2006/main" count="2203" uniqueCount="608">
  <si>
    <t>DSA Practice Tracker - 16-Week Plan (Java)</t>
  </si>
  <si>
    <t>Update only the Status, Date Solved and Notes columns in the other two sheets. Everything on this sheet recalculates automatically.</t>
  </si>
  <si>
    <t>Topic</t>
  </si>
  <si>
    <t>Total</t>
  </si>
  <si>
    <t>Solved</t>
  </si>
  <si>
    <t>Remaining</t>
  </si>
  <si>
    <t>% Done</t>
  </si>
  <si>
    <t>1. Conditional Statements</t>
  </si>
  <si>
    <t>2. Loops and Basic Math</t>
  </si>
  <si>
    <t>3. Arrays</t>
  </si>
  <si>
    <t>4. Strings</t>
  </si>
  <si>
    <t>5. Hashing</t>
  </si>
  <si>
    <t>6. Two Pointers and Sliding Window</t>
  </si>
  <si>
    <t>7. Prefix Sum</t>
  </si>
  <si>
    <t>8. Binary Search</t>
  </si>
  <si>
    <t>9. Sorting</t>
  </si>
  <si>
    <t>10. Recursion and Backtracking</t>
  </si>
  <si>
    <t>11. Linked List</t>
  </si>
  <si>
    <t>12. Stack and Queue</t>
  </si>
  <si>
    <t>13. Trees and BST</t>
  </si>
  <si>
    <t>14. Heap / Priority Queue</t>
  </si>
  <si>
    <t>15. Trie</t>
  </si>
  <si>
    <t>16. Graphs (BFS/DFS)</t>
  </si>
  <si>
    <t>17. Shortest Path, MST, Union-Find</t>
  </si>
  <si>
    <t>18. Greedy</t>
  </si>
  <si>
    <t>19. Dynamic Programming</t>
  </si>
  <si>
    <t>20. Bit Manipulation</t>
  </si>
  <si>
    <t>21. Very Advanced</t>
  </si>
  <si>
    <t>TOTAL (LeetCode)</t>
  </si>
  <si>
    <t>Difficulty</t>
  </si>
  <si>
    <t>Easy</t>
  </si>
  <si>
    <t>Medium</t>
  </si>
  <si>
    <t>Hard</t>
  </si>
  <si>
    <t>Other Counters</t>
  </si>
  <si>
    <t>Extra Practice (GFG / HR / CC / CSES / AtCoder)</t>
  </si>
  <si>
    <t>LeetCode problems marked 'Needs Revision'</t>
  </si>
  <si>
    <t>Phase 0: Logic Building (before DSA)</t>
  </si>
  <si>
    <t>How to use</t>
  </si>
  <si>
    <t>1. Open 'LeetCode Tracker' and pick Status from the dropdown (Not Started / In Progress / Solved / Needs Revision).</t>
  </si>
  <si>
    <t>2. Type Date Solved as 27-Oct-2026 (day-month-year). Use Notes for the approach and time/space complexity.</t>
  </si>
  <si>
    <t>3. Click the LC No to open a LeetCode search for that problem number.</t>
  </si>
  <si>
    <t>4. Follow the Week column in order. Use the filter arrows on the header row to see one week or topic at a time.</t>
  </si>
  <si>
    <t>5. 'Extra Practice' lists the same-topic problems from GFG, HackerRank, CodeChef, SPOJ, CSES and AtCoder.</t>
  </si>
  <si>
    <t>Note: LC 136 (Single Number) belongs to both Arrays and Bit Manipulation, so it is listed once, under Arrays (Week 2).</t>
  </si>
  <si>
    <t>Note: Combined entries such as 94/144/145, 235/236 and 207/210 are split into separate rows so each can be tracked.</t>
  </si>
  <si>
    <t>Start with the 'Logic Building' sheet (10 days) before Week 1 of the DSA plan. See 'Logic Plan &amp; Interview' for the interview approach.</t>
  </si>
  <si>
    <t>S.No</t>
  </si>
  <si>
    <t>Day</t>
  </si>
  <si>
    <t>Problem</t>
  </si>
  <si>
    <t>Practice On</t>
  </si>
  <si>
    <t>Status</t>
  </si>
  <si>
    <t>Date Solved</t>
  </si>
  <si>
    <t>Notes</t>
  </si>
  <si>
    <t>Java basics, I/O and conditions</t>
  </si>
  <si>
    <t>Swap two numbers (with and without a temp variable)</t>
  </si>
  <si>
    <t>Write in Java, then check on HackerRank (Java domain)</t>
  </si>
  <si>
    <t>Not Started</t>
  </si>
  <si>
    <t>Largest of three numbers</t>
  </si>
  <si>
    <t>Check leap year</t>
  </si>
  <si>
    <t>Check even or odd</t>
  </si>
  <si>
    <t>Simple calculator using switch</t>
  </si>
  <si>
    <t>Grade calculator using if-else ladder</t>
  </si>
  <si>
    <t>Check vowel or consonant</t>
  </si>
  <si>
    <t>Convert temperature (Celsius to Fahrenheit)</t>
  </si>
  <si>
    <t>Loops and digit logic</t>
  </si>
  <si>
    <t>Sum of first N natural numbers</t>
  </si>
  <si>
    <t>GFG Basic / CodeChef FLOW series</t>
  </si>
  <si>
    <t>Factorial of a number</t>
  </si>
  <si>
    <t>Multiplication table of N</t>
  </si>
  <si>
    <t>Count digits in a number</t>
  </si>
  <si>
    <t>Sum of digits</t>
  </si>
  <si>
    <t>Reverse a number</t>
  </si>
  <si>
    <t>Check palindrome number</t>
  </si>
  <si>
    <t>Print Fibonacci series (using loop)</t>
  </si>
  <si>
    <t>Number theory logic</t>
  </si>
  <si>
    <t>Check prime number (up to sqrt(n))</t>
  </si>
  <si>
    <t>GFG Basic / HackerRank</t>
  </si>
  <si>
    <t>Print all primes in a range</t>
  </si>
  <si>
    <t>Armstrong number</t>
  </si>
  <si>
    <t>Perfect number</t>
  </si>
  <si>
    <t>Strong number</t>
  </si>
  <si>
    <t>GCD of two numbers (Euclid)</t>
  </si>
  <si>
    <t>LCM of two numbers</t>
  </si>
  <si>
    <t>Decimal to binary conversion</t>
  </si>
  <si>
    <t>Binary to decimal conversion</t>
  </si>
  <si>
    <t>Power of a number without Math.pow</t>
  </si>
  <si>
    <t>Star patterns (nested loops)</t>
  </si>
  <si>
    <t>Right-angled triangle</t>
  </si>
  <si>
    <t>Write yourself, no copying</t>
  </si>
  <si>
    <t>Inverted right-angled triangle</t>
  </si>
  <si>
    <t>Pyramid</t>
  </si>
  <si>
    <t>Inverted pyramid</t>
  </si>
  <si>
    <t>Diamond</t>
  </si>
  <si>
    <t>Hollow square</t>
  </si>
  <si>
    <t>Hollow pyramid</t>
  </si>
  <si>
    <t>Hourglass</t>
  </si>
  <si>
    <t>Number and alphabet patterns</t>
  </si>
  <si>
    <t>1, 12, 123 triangle</t>
  </si>
  <si>
    <t>Floyd's triangle</t>
  </si>
  <si>
    <t>Pascal's triangle</t>
  </si>
  <si>
    <t>Alphabet triangle (A, AB, ABC)</t>
  </si>
  <si>
    <t>Number pyramid</t>
  </si>
  <si>
    <t>Butterfly pattern</t>
  </si>
  <si>
    <t>Zig-zag number pattern</t>
  </si>
  <si>
    <t>Array logic (1D)</t>
  </si>
  <si>
    <t>Largest and smallest element</t>
  </si>
  <si>
    <t>GFG Basic / HackerRank Java 1D Array</t>
  </si>
  <si>
    <t>Second largest element (single pass)</t>
  </si>
  <si>
    <t>Reverse an array in place</t>
  </si>
  <si>
    <t>Sum and average of array</t>
  </si>
  <si>
    <t>Count even and odd elements</t>
  </si>
  <si>
    <t>Linear search</t>
  </si>
  <si>
    <t>Check if array is sorted</t>
  </si>
  <si>
    <t>Find missing number from 1 to N</t>
  </si>
  <si>
    <t>Rotate array by k positions</t>
  </si>
  <si>
    <t>Frequency of each element</t>
  </si>
  <si>
    <t>Move all zeroes to the end</t>
  </si>
  <si>
    <t>Separate 0s and 1s</t>
  </si>
  <si>
    <t>2D arrays and basic sorting</t>
  </si>
  <si>
    <t>Matrix addition</t>
  </si>
  <si>
    <t>GFG Basic / HackerRank 2D Array</t>
  </si>
  <si>
    <t>Matrix transpose</t>
  </si>
  <si>
    <t>Row-wise and column-wise sum</t>
  </si>
  <si>
    <t>Diagonal sum</t>
  </si>
  <si>
    <t>Print matrix in spiral order</t>
  </si>
  <si>
    <t>Bubble sort</t>
  </si>
  <si>
    <t>Selection sort</t>
  </si>
  <si>
    <t>Insertion sort</t>
  </si>
  <si>
    <t>Binary search (iterative)</t>
  </si>
  <si>
    <t>String logic</t>
  </si>
  <si>
    <t>Reverse a string</t>
  </si>
  <si>
    <t>GFG Basic / HackerRank Java Strings</t>
  </si>
  <si>
    <t>Check palindrome string</t>
  </si>
  <si>
    <t>Count vowels and consonants</t>
  </si>
  <si>
    <t>Character frequency</t>
  </si>
  <si>
    <t>First non-repeating character</t>
  </si>
  <si>
    <t>Check two strings are anagrams</t>
  </si>
  <si>
    <t>Remove duplicate characters</t>
  </si>
  <si>
    <t>Count words in a sentence</t>
  </si>
  <si>
    <t>Reverse each word of a sentence</t>
  </si>
  <si>
    <t>Capitalize first letter of each word</t>
  </si>
  <si>
    <t>String compression (aaabb to a3b2)</t>
  </si>
  <si>
    <t>Longest word in a sentence</t>
  </si>
  <si>
    <t>Recursion and Java collections</t>
  </si>
  <si>
    <t>Factorial using recursion</t>
  </si>
  <si>
    <t>Write yourself, then compare with GFG solutions</t>
  </si>
  <si>
    <t>Fibonacci using recursion</t>
  </si>
  <si>
    <t>Sum of digits using recursion</t>
  </si>
  <si>
    <t>Power of a number using recursion</t>
  </si>
  <si>
    <t>Reverse a string using recursion</t>
  </si>
  <si>
    <t>Palindrome check using recursion</t>
  </si>
  <si>
    <t>Word frequency using HashMap</t>
  </si>
  <si>
    <t>Find duplicates in an array using HashSet</t>
  </si>
  <si>
    <t>Remove duplicates from an ArrayList</t>
  </si>
  <si>
    <t>Sort a list of objects using Comparator</t>
  </si>
  <si>
    <t>Problem-solving method and mock round</t>
  </si>
  <si>
    <t>Two Sum: write brute force, then HashMap version</t>
  </si>
  <si>
    <t>Mixed: self-timed</t>
  </si>
  <si>
    <t>Find the duplicate number: solve in 3 different ways</t>
  </si>
  <si>
    <t>State time and space complexity of 5 earlier solutions</t>
  </si>
  <si>
    <t>Dry run any 3 earlier programs on paper with a small input</t>
  </si>
  <si>
    <t>Mock round: solve 5 mixed problems from Days 1-9 in 45 minutes while explaining aloud</t>
  </si>
  <si>
    <t>Focus</t>
  </si>
  <si>
    <t>Skill you build</t>
  </si>
  <si>
    <t>Why interviewers care</t>
  </si>
  <si>
    <t>Time</t>
  </si>
  <si>
    <t>Data types, operators, integer division, if/else, switch</t>
  </si>
  <si>
    <t>Warm-up questions in the first screening round. Shows you know int overflow and integer division traps.</t>
  </si>
  <si>
    <t>2 hrs</t>
  </si>
  <si>
    <t>Using % 10 and / 10 to pull digits apart</t>
  </si>
  <si>
    <t>Digit logic is the base for 20+ problems (palindrome, Armstrong, reverse). Asked in almost every fresher test.</t>
  </si>
  <si>
    <t>Prime up to sqrt(n), Euclid's GCD, base conversion</t>
  </si>
  <si>
    <t>Shows you can optimize brute force and talk about time complexity.</t>
  </si>
  <si>
    <t>Star patterns</t>
  </si>
  <si>
    <t>Nested loops, mapping rows and columns to spaces and stars</t>
  </si>
  <si>
    <t>Common in written tests of service companies. Tests whether you can break a picture into row and column rules.</t>
  </si>
  <si>
    <t>Row/column formulas, Pascal's triangle with previous row</t>
  </si>
  <si>
    <t>Tests careful thinking and dry running, not just syntax.</t>
  </si>
  <si>
    <t>Single-pass scans, two variables (max, second max), in-place changes</t>
  </si>
  <si>
    <t>Arrays are the most-asked topic. Interviewers want a one-pass solution, not sort-then-pick.</t>
  </si>
  <si>
    <t>2.5 hrs</t>
  </si>
  <si>
    <t>Row/column indexing, swapping, loop invariants</t>
  </si>
  <si>
    <t>Matrix and sorting questions test index handling. Explaining bubble vs selection vs insertion is a common viva question.</t>
  </si>
  <si>
    <t>char arithmetic, frequency array, StringBuilder, split</t>
  </si>
  <si>
    <t>Strings are the second most-asked topic. You will be asked String vs StringBuilder vs StringBuffer.</t>
  </si>
  <si>
    <t>Base case and recursive case, HashMap, HashSet, Comparator</t>
  </si>
  <si>
    <t>Full-stack Java interviews mix coding with collections. Recursion is the bridge to trees and backtracking later.</t>
  </si>
  <si>
    <t>Brute force to optimized, complexity, dry run, speaking aloud</t>
  </si>
  <si>
    <t>This is what separates a prepared candidate from one who memorized answers.</t>
  </si>
  <si>
    <t>3 hrs</t>
  </si>
  <si>
    <t>How to solve any problem in an interview (use these 8 steps every time)</t>
  </si>
  <si>
    <t>Step</t>
  </si>
  <si>
    <t>What to do</t>
  </si>
  <si>
    <t>What to say out loud</t>
  </si>
  <si>
    <t>Why it matters</t>
  </si>
  <si>
    <t>Understand the problem</t>
  </si>
  <si>
    <t>'Let me restate it: the input is..., the output should be...'</t>
  </si>
  <si>
    <t>Prevents solving the wrong problem. Ask about input size and whether duplicates or negatives are allowed.</t>
  </si>
  <si>
    <t>Work through 1-2 examples by hand</t>
  </si>
  <si>
    <t>'For input [2, 7, 11], the answer should be...'</t>
  </si>
  <si>
    <t>Reveals the pattern before you write any code.</t>
  </si>
  <si>
    <t>Say the brute force first</t>
  </si>
  <si>
    <t>'The simple way is two loops, which is O(n^2).'</t>
  </si>
  <si>
    <t>Shows you can always produce a working answer, then improve it.</t>
  </si>
  <si>
    <t>Optimize and name the idea</t>
  </si>
  <si>
    <t>'I can use a HashMap to cut this to O(n) time with O(n) extra space.'</t>
  </si>
  <si>
    <t>Interviewers listen for the trade-off between time and space.</t>
  </si>
  <si>
    <t>List edge cases</t>
  </si>
  <si>
    <t>'Empty array, one element, all same values, negative numbers, overflow.'</t>
  </si>
  <si>
    <t>Edge cases are where most fresher solutions fail.</t>
  </si>
  <si>
    <t>Write clean Java code</t>
  </si>
  <si>
    <t>Use meaningful variable names and small steps.</t>
  </si>
  <si>
    <t>Readable code signals you can work in a team codebase.</t>
  </si>
  <si>
    <t>Dry run with your example</t>
  </si>
  <si>
    <t>'With i = 0, map is empty, so I store 2...'</t>
  </si>
  <si>
    <t>Catches your own bugs before the interviewer does.</t>
  </si>
  <si>
    <t>State time and space complexity</t>
  </si>
  <si>
    <t>'Time O(n), space O(n).'</t>
  </si>
  <si>
    <t>Always asked at the end. Say it before they ask.</t>
  </si>
  <si>
    <t>Edge-case checklist</t>
  </si>
  <si>
    <t>Empty input or null (arrays, strings, lists)</t>
  </si>
  <si>
    <t>Single element</t>
  </si>
  <si>
    <t>All elements equal / duplicates present</t>
  </si>
  <si>
    <t>Negative numbers and zero</t>
  </si>
  <si>
    <t>int overflow: use long when sums or products can be large</t>
  </si>
  <si>
    <t>Already sorted / reverse sorted input</t>
  </si>
  <si>
    <t>Very large input: check your time complexity</t>
  </si>
  <si>
    <t>Week</t>
  </si>
  <si>
    <t>Phase</t>
  </si>
  <si>
    <t>LC No</t>
  </si>
  <si>
    <t>Problem Name</t>
  </si>
  <si>
    <t>Notes / Approach</t>
  </si>
  <si>
    <t>Phase 1: Foundations</t>
  </si>
  <si>
    <t>Fizz Buzz</t>
  </si>
  <si>
    <t>Sign of the Product of an Array</t>
  </si>
  <si>
    <t>Average Salary Excluding the Minimum and Maximum Salary</t>
  </si>
  <si>
    <t>Count Odd Numbers in an Interval Range</t>
  </si>
  <si>
    <t>Largest Perimeter Triangle</t>
  </si>
  <si>
    <t>Rectangle Overlap</t>
  </si>
  <si>
    <t>Day of the Week</t>
  </si>
  <si>
    <t>Number of Days Between Two Dates</t>
  </si>
  <si>
    <t>Richest Customer Wealth</t>
  </si>
  <si>
    <t>Number of Steps to Reduce a Number to Zero</t>
  </si>
  <si>
    <t>Subtract the Product and Sum of Digits of an Integer</t>
  </si>
  <si>
    <t>Add Digits</t>
  </si>
  <si>
    <t>Count of Matches in Tournament</t>
  </si>
  <si>
    <t>Water Bottles</t>
  </si>
  <si>
    <t>Fibonacci Number</t>
  </si>
  <si>
    <t>Palindrome Number</t>
  </si>
  <si>
    <t>Reverse Integer</t>
  </si>
  <si>
    <t>Happy Number</t>
  </si>
  <si>
    <t>Count Primes</t>
  </si>
  <si>
    <t>Roman to Integer</t>
  </si>
  <si>
    <t>Plus One</t>
  </si>
  <si>
    <t>Add Binary</t>
  </si>
  <si>
    <t>Sqrt(x)</t>
  </si>
  <si>
    <t>Pow(x, n)</t>
  </si>
  <si>
    <t>Multiply Strings</t>
  </si>
  <si>
    <t>Two Sum</t>
  </si>
  <si>
    <t>Remove Duplicates from Sorted Array</t>
  </si>
  <si>
    <t>Remove Element</t>
  </si>
  <si>
    <t>Merge Sorted Array</t>
  </si>
  <si>
    <t>Move Zeroes</t>
  </si>
  <si>
    <t>Contains Duplicate</t>
  </si>
  <si>
    <t>Single Number</t>
  </si>
  <si>
    <t>Majority Element</t>
  </si>
  <si>
    <t>Best Time to Buy and Sell Stock</t>
  </si>
  <si>
    <t>Rotate Array</t>
  </si>
  <si>
    <t>Maximum Subarray</t>
  </si>
  <si>
    <t>Product of Array Except Self</t>
  </si>
  <si>
    <t>Sort Colors</t>
  </si>
  <si>
    <t>Next Permutation</t>
  </si>
  <si>
    <t>Container With Most Water</t>
  </si>
  <si>
    <t>3Sum</t>
  </si>
  <si>
    <t>Merge Intervals</t>
  </si>
  <si>
    <t>Longest Consecutive Sequence</t>
  </si>
  <si>
    <t>First Missing Positive</t>
  </si>
  <si>
    <t>Trapping Rain Water</t>
  </si>
  <si>
    <t>Reverse String</t>
  </si>
  <si>
    <t>Valid Palindrome</t>
  </si>
  <si>
    <t>Valid Anagram</t>
  </si>
  <si>
    <t>First Unique Character in a String</t>
  </si>
  <si>
    <t>Longest Common Prefix</t>
  </si>
  <si>
    <t>Find the Index of the First Occurrence in a String</t>
  </si>
  <si>
    <t>Group Anagrams</t>
  </si>
  <si>
    <t>Reverse Words in a String</t>
  </si>
  <si>
    <t>String to Integer (atoi)</t>
  </si>
  <si>
    <t>Longest Palindromic Substring</t>
  </si>
  <si>
    <t>Zigzag Conversion</t>
  </si>
  <si>
    <t>Ransom Note</t>
  </si>
  <si>
    <t>Isomorphic Strings</t>
  </si>
  <si>
    <t>Top K Frequent Elements</t>
  </si>
  <si>
    <t>Subarray Sum Equals K</t>
  </si>
  <si>
    <t>4Sum II</t>
  </si>
  <si>
    <t>Insert Delete GetRandom O(1)</t>
  </si>
  <si>
    <t>LRU Cache</t>
  </si>
  <si>
    <t>Phase 2: Core Techniques</t>
  </si>
  <si>
    <t>Squares of a Sorted Array</t>
  </si>
  <si>
    <t>Is Subsequence</t>
  </si>
  <si>
    <t>Two Sum II - Input Array Is Sorted</t>
  </si>
  <si>
    <t>Maximum Average Subarray I</t>
  </si>
  <si>
    <t>Longest Substring Without Repeating Characters</t>
  </si>
  <si>
    <t>Minimum Size Subarray Sum</t>
  </si>
  <si>
    <t>Longest Repeating Character Replacement</t>
  </si>
  <si>
    <t>Permutation in String</t>
  </si>
  <si>
    <t>Find All Anagrams in a String</t>
  </si>
  <si>
    <t>Minimum Window Substring</t>
  </si>
  <si>
    <t>Sliding Window Maximum</t>
  </si>
  <si>
    <t>Running Sum of 1d Array</t>
  </si>
  <si>
    <t>Range Sum Query - Immutable</t>
  </si>
  <si>
    <t>Find Pivot Index</t>
  </si>
  <si>
    <t>Contiguous Array</t>
  </si>
  <si>
    <t>Subarray Sums Divisible by K</t>
  </si>
  <si>
    <t>Binary Search</t>
  </si>
  <si>
    <t>Search Insert Position</t>
  </si>
  <si>
    <t>First Bad Version</t>
  </si>
  <si>
    <t>Find First and Last Position of Element in Sorted Array</t>
  </si>
  <si>
    <t>Search in Rotated Sorted Array</t>
  </si>
  <si>
    <t>Find Minimum in Rotated Sorted Array</t>
  </si>
  <si>
    <t>Find Peak Element</t>
  </si>
  <si>
    <t>Koko Eating Bananas</t>
  </si>
  <si>
    <t>Capacity To Ship Packages Within D Days</t>
  </si>
  <si>
    <t>Split Array Largest Sum</t>
  </si>
  <si>
    <t>Median of Two Sorted Arrays</t>
  </si>
  <si>
    <t>Sort an Array</t>
  </si>
  <si>
    <t>Largest Number</t>
  </si>
  <si>
    <t>Kth Largest Element in an Array</t>
  </si>
  <si>
    <t>Sort List</t>
  </si>
  <si>
    <t>Subsets</t>
  </si>
  <si>
    <t>Subsets II</t>
  </si>
  <si>
    <t>Permutations</t>
  </si>
  <si>
    <t>Letter Combinations of a Phone Number</t>
  </si>
  <si>
    <t>Combination Sum</t>
  </si>
  <si>
    <t>Combination Sum II</t>
  </si>
  <si>
    <t>Generate Parentheses</t>
  </si>
  <si>
    <t>Palindrome Partitioning</t>
  </si>
  <si>
    <t>Word Search</t>
  </si>
  <si>
    <t>N-Queens</t>
  </si>
  <si>
    <t>Sudoku Solver</t>
  </si>
  <si>
    <t>Phase 3: Data Structures</t>
  </si>
  <si>
    <t>Reverse Linked List</t>
  </si>
  <si>
    <t>Merge Two Sorted Lists</t>
  </si>
  <si>
    <t>Remove Duplicates from Sorted List</t>
  </si>
  <si>
    <t>Linked List Cycle</t>
  </si>
  <si>
    <t>Middle of the Linked List</t>
  </si>
  <si>
    <t>Intersection of Two Linked Lists</t>
  </si>
  <si>
    <t>Palindrome Linked List</t>
  </si>
  <si>
    <t>Remove Nth Node From End of List</t>
  </si>
  <si>
    <t>Add Two Numbers</t>
  </si>
  <si>
    <t>Linked List Cycle II</t>
  </si>
  <si>
    <t>Reorder List</t>
  </si>
  <si>
    <t>Copy List with Random Pointer</t>
  </si>
  <si>
    <t>Reverse Nodes in k-Group</t>
  </si>
  <si>
    <t>Merge k Sorted Lists</t>
  </si>
  <si>
    <t>Valid Parentheses</t>
  </si>
  <si>
    <t>Implement Queue using Stacks</t>
  </si>
  <si>
    <t>Implement Stack using Queues</t>
  </si>
  <si>
    <t>Next Greater Element I</t>
  </si>
  <si>
    <t>Min Stack</t>
  </si>
  <si>
    <t>Evaluate Reverse Polish Notation</t>
  </si>
  <si>
    <t>Daily Temperatures</t>
  </si>
  <si>
    <t>Decode String</t>
  </si>
  <si>
    <t>Basic Calculator</t>
  </si>
  <si>
    <t>Largest Rectangle in Histogram</t>
  </si>
  <si>
    <t>Maximal Rectangle</t>
  </si>
  <si>
    <t>Maximum Depth of Binary Tree</t>
  </si>
  <si>
    <t>Same Tree</t>
  </si>
  <si>
    <t>Invert Binary Tree</t>
  </si>
  <si>
    <t>Symmetric Tree</t>
  </si>
  <si>
    <t>Binary Tree Inorder Traversal</t>
  </si>
  <si>
    <t>Binary Tree Preorder Traversal</t>
  </si>
  <si>
    <t>Binary Tree Postorder Traversal</t>
  </si>
  <si>
    <t>Balanced Binary Tree</t>
  </si>
  <si>
    <t>Diameter of Binary Tree</t>
  </si>
  <si>
    <t>Path Sum</t>
  </si>
  <si>
    <t>Binary Tree Level Order Traversal</t>
  </si>
  <si>
    <t>Binary Tree Right Side View</t>
  </si>
  <si>
    <t>Validate Binary Search Tree</t>
  </si>
  <si>
    <t>Kth Smallest Element in a BST</t>
  </si>
  <si>
    <t>Lowest Common Ancestor of a Binary Search Tree</t>
  </si>
  <si>
    <t>Lowest Common Ancestor of a Binary Tree</t>
  </si>
  <si>
    <t>Construct Binary Tree from Preorder and Inorder Traversal</t>
  </si>
  <si>
    <t>Flatten Binary Tree to Linked List</t>
  </si>
  <si>
    <t>Serialize and Deserialize Binary Tree</t>
  </si>
  <si>
    <t>Binary Tree Maximum Path Sum</t>
  </si>
  <si>
    <t>Kth Largest Element in a Stream</t>
  </si>
  <si>
    <t>Last Stone Weight</t>
  </si>
  <si>
    <t>K Closest Points to Origin</t>
  </si>
  <si>
    <t>Task Scheduler</t>
  </si>
  <si>
    <t>Find Median from Data Stream</t>
  </si>
  <si>
    <t>Implement Trie (Prefix Tree)</t>
  </si>
  <si>
    <t>Design Add and Search Words Data Structure</t>
  </si>
  <si>
    <t>Word Search II</t>
  </si>
  <si>
    <t>Phase 4: Advanced</t>
  </si>
  <si>
    <t>Flood Fill</t>
  </si>
  <si>
    <t>Number of Islands</t>
  </si>
  <si>
    <t>Max Area of Island</t>
  </si>
  <si>
    <t>Clone Graph</t>
  </si>
  <si>
    <t>Number of Provinces</t>
  </si>
  <si>
    <t>Rotting Oranges</t>
  </si>
  <si>
    <t>Pacific Atlantic Water Flow</t>
  </si>
  <si>
    <t>Course Schedule</t>
  </si>
  <si>
    <t>Course Schedule II</t>
  </si>
  <si>
    <t>Word Ladder</t>
  </si>
  <si>
    <t>Redundant Connection</t>
  </si>
  <si>
    <t>Network Delay Time</t>
  </si>
  <si>
    <t>Cheapest Flights Within K Stops</t>
  </si>
  <si>
    <t>Min Cost to Connect All Points</t>
  </si>
  <si>
    <t>Swim in Rising Water</t>
  </si>
  <si>
    <t>Assign Cookies</t>
  </si>
  <si>
    <t>Lemonade Change</t>
  </si>
  <si>
    <t>Best Time to Buy and Sell Stock II</t>
  </si>
  <si>
    <t>Jump Game</t>
  </si>
  <si>
    <t>Jump Game II</t>
  </si>
  <si>
    <t>Gas Station</t>
  </si>
  <si>
    <t>Non-overlapping Intervals</t>
  </si>
  <si>
    <t>Partition Labels</t>
  </si>
  <si>
    <t>Candy</t>
  </si>
  <si>
    <t>Climbing Stairs</t>
  </si>
  <si>
    <t>Min Cost Climbing Stairs</t>
  </si>
  <si>
    <t>House Robber</t>
  </si>
  <si>
    <t>House Robber II</t>
  </si>
  <si>
    <t>Coin Change</t>
  </si>
  <si>
    <t>Longest Increasing Subsequence</t>
  </si>
  <si>
    <t>Word Break</t>
  </si>
  <si>
    <t>Unique Paths</t>
  </si>
  <si>
    <t>Minimum Path Sum</t>
  </si>
  <si>
    <t>Maximum Product Subarray</t>
  </si>
  <si>
    <t>Partition Equal Subset Sum</t>
  </si>
  <si>
    <t>Target Sum</t>
  </si>
  <si>
    <t>Longest Common Subsequence</t>
  </si>
  <si>
    <t>Edit Distance</t>
  </si>
  <si>
    <t>Regular Expression Matching</t>
  </si>
  <si>
    <t>Burst Balloons</t>
  </si>
  <si>
    <t>Number of 1 Bits</t>
  </si>
  <si>
    <t>Power of Two</t>
  </si>
  <si>
    <t>Counting Bits</t>
  </si>
  <si>
    <t>Missing Number</t>
  </si>
  <si>
    <t>Sum of Two Integers</t>
  </si>
  <si>
    <t>Bitwise AND of Numbers Range</t>
  </si>
  <si>
    <t>Range Sum Query - Mutable</t>
  </si>
  <si>
    <t>Count of Smaller Numbers After Self</t>
  </si>
  <si>
    <t>Maximum Profit in Job Scheduling</t>
  </si>
  <si>
    <t>Super Egg Drop</t>
  </si>
  <si>
    <t>Platform</t>
  </si>
  <si>
    <t>1</t>
  </si>
  <si>
    <t>Conditions, Loops, Math</t>
  </si>
  <si>
    <t>HackerRank</t>
  </si>
  <si>
    <t>Java If-Else</t>
  </si>
  <si>
    <t>Java Loops I</t>
  </si>
  <si>
    <t>Java Loops II</t>
  </si>
  <si>
    <t>GFG</t>
  </si>
  <si>
    <t>Check Prime</t>
  </si>
  <si>
    <t>GCD and LCM</t>
  </si>
  <si>
    <t>Armstrong Number</t>
  </si>
  <si>
    <t>Factorial Trailing Zeroes</t>
  </si>
  <si>
    <t>Pattern Printing</t>
  </si>
  <si>
    <t>CodeChef</t>
  </si>
  <si>
    <t>FLOW001 - Add Two Numbers</t>
  </si>
  <si>
    <t>FLOW006 - Sum of Digits</t>
  </si>
  <si>
    <t>FLOW007 - Reverse the Number</t>
  </si>
  <si>
    <t>2</t>
  </si>
  <si>
    <t>Arrays</t>
  </si>
  <si>
    <t>Second Largest Element</t>
  </si>
  <si>
    <t>Check if Array is Sorted and Rotated</t>
  </si>
  <si>
    <t>Leaders in an Array</t>
  </si>
  <si>
    <t>Equilibrium Point</t>
  </si>
  <si>
    <t>Java 1D Array</t>
  </si>
  <si>
    <t>Java 2D Array</t>
  </si>
  <si>
    <t>Arrays: Left Rotation</t>
  </si>
  <si>
    <t>2D Array - DS</t>
  </si>
  <si>
    <t>3</t>
  </si>
  <si>
    <t>Strings and Hashing</t>
  </si>
  <si>
    <t>Check Pangram</t>
  </si>
  <si>
    <t>Remove Duplicates from String</t>
  </si>
  <si>
    <t>Check Rotation of String</t>
  </si>
  <si>
    <t>Longest Substring with K Distinct Characters</t>
  </si>
  <si>
    <t>Java Anagrams</t>
  </si>
  <si>
    <t>Sock Merchant</t>
  </si>
  <si>
    <t>Two Strings</t>
  </si>
  <si>
    <t>Sherlock and Anagrams</t>
  </si>
  <si>
    <t>Frequency Queries</t>
  </si>
  <si>
    <t>4</t>
  </si>
  <si>
    <t>Two Pointers, Sliding Window, Prefix Sum</t>
  </si>
  <si>
    <t>Pair with Given Sum in Sorted Array</t>
  </si>
  <si>
    <t>Longest Subarray with Sum K</t>
  </si>
  <si>
    <t>First Negative in Every Window</t>
  </si>
  <si>
    <t>Array Manipulation</t>
  </si>
  <si>
    <t>CSES</t>
  </si>
  <si>
    <t>Subarray Sums I</t>
  </si>
  <si>
    <t>Subarray Sums II</t>
  </si>
  <si>
    <t>5</t>
  </si>
  <si>
    <t>Binary Search and Sorting</t>
  </si>
  <si>
    <t>Floor in a Sorted Array</t>
  </si>
  <si>
    <t>Allocate Minimum Pages</t>
  </si>
  <si>
    <t>Painter's Partition</t>
  </si>
  <si>
    <t>Count Inversions</t>
  </si>
  <si>
    <t>SPOJ</t>
  </si>
  <si>
    <t>AGGRCOW - Aggressive Cows</t>
  </si>
  <si>
    <t>Ice Cream Parlor</t>
  </si>
  <si>
    <t>Factory Machines</t>
  </si>
  <si>
    <t>Array Division</t>
  </si>
  <si>
    <t>6</t>
  </si>
  <si>
    <t>Recursion and Backtracking</t>
  </si>
  <si>
    <t>Tower of Hanoi</t>
  </si>
  <si>
    <t>Print All Subsequences</t>
  </si>
  <si>
    <t>Rat in a Maze</t>
  </si>
  <si>
    <t>Josephus Problem</t>
  </si>
  <si>
    <t>Recursion: Davis' Staircase</t>
  </si>
  <si>
    <t>Creating Strings</t>
  </si>
  <si>
    <t>Chessboard and Queens</t>
  </si>
  <si>
    <t>7</t>
  </si>
  <si>
    <t>Linked List</t>
  </si>
  <si>
    <t>Delete Node Without Head Pointer</t>
  </si>
  <si>
    <t>Detect and Remove Loop</t>
  </si>
  <si>
    <t>Add 1 to a Linked List</t>
  </si>
  <si>
    <t>Flatten a Linked List</t>
  </si>
  <si>
    <t>Reverse a Doubly Linked List</t>
  </si>
  <si>
    <t>Find Merge Point of Two Lists</t>
  </si>
  <si>
    <t>Cycle Detection</t>
  </si>
  <si>
    <t>8</t>
  </si>
  <si>
    <t>Stack and Queue</t>
  </si>
  <si>
    <t>Stock Span Problem</t>
  </si>
  <si>
    <t>Celebrity Problem</t>
  </si>
  <si>
    <t>Sort a Stack</t>
  </si>
  <si>
    <t>Balanced Brackets</t>
  </si>
  <si>
    <t>Equal Stacks</t>
  </si>
  <si>
    <t>Queue Using Two Stacks</t>
  </si>
  <si>
    <t>Game of Two Stacks</t>
  </si>
  <si>
    <t>9-10</t>
  </si>
  <si>
    <t>Trees and BST</t>
  </si>
  <si>
    <t>Height of a Tree</t>
  </si>
  <si>
    <t>Top View of Binary Tree</t>
  </si>
  <si>
    <t>Bottom View of Binary Tree</t>
  </si>
  <si>
    <t>Vertical Order Traversal</t>
  </si>
  <si>
    <t>Boundary Traversal</t>
  </si>
  <si>
    <t>Inorder Successor in BST</t>
  </si>
  <si>
    <t>Tree: Height of a Binary Tree</t>
  </si>
  <si>
    <t>Tree: Level Order Traversal</t>
  </si>
  <si>
    <t>Binary Search Tree: Lowest Common Ancestor</t>
  </si>
  <si>
    <t>Subordinates</t>
  </si>
  <si>
    <t>Tree Diameter</t>
  </si>
  <si>
    <t>11</t>
  </si>
  <si>
    <t>Heap and Trie</t>
  </si>
  <si>
    <t>Kth Smallest Element</t>
  </si>
  <si>
    <t>Merge K Sorted Arrays</t>
  </si>
  <si>
    <t>Connect Ropes to Minimize Cost</t>
  </si>
  <si>
    <t>Longest Common Prefix using Trie</t>
  </si>
  <si>
    <t>Jesse and Cookies</t>
  </si>
  <si>
    <t>QHEAP1</t>
  </si>
  <si>
    <t>Find the Running Median</t>
  </si>
  <si>
    <t>Tries: Contacts</t>
  </si>
  <si>
    <t>12</t>
  </si>
  <si>
    <t>Graphs, Shortest Path, Union-Find</t>
  </si>
  <si>
    <t>BFS and DFS of a Graph</t>
  </si>
  <si>
    <t>Detect Cycle in a Graph</t>
  </si>
  <si>
    <t>Topological Sort</t>
  </si>
  <si>
    <t>Dijkstra's Algorithm</t>
  </si>
  <si>
    <t>Kruskal's MST</t>
  </si>
  <si>
    <t>BFS: Shortest Reach</t>
  </si>
  <si>
    <t>Roads and Libraries</t>
  </si>
  <si>
    <t>Journey to the Moon</t>
  </si>
  <si>
    <t>Counting Rooms</t>
  </si>
  <si>
    <t>Labyrinth</t>
  </si>
  <si>
    <t>Building Roads</t>
  </si>
  <si>
    <t>Shortest Routes I</t>
  </si>
  <si>
    <t>13</t>
  </si>
  <si>
    <t>Greedy and Bit Manipulation</t>
  </si>
  <si>
    <t>Activity Selection</t>
  </si>
  <si>
    <t>Fractional Knapsack</t>
  </si>
  <si>
    <t>Job Sequencing</t>
  </si>
  <si>
    <t>Minimum Platforms</t>
  </si>
  <si>
    <t>N Meetings in One Room</t>
  </si>
  <si>
    <t>Count Set Bits</t>
  </si>
  <si>
    <t>Mark and Toys</t>
  </si>
  <si>
    <t>Luck Balance</t>
  </si>
  <si>
    <t>Lonely Integer</t>
  </si>
  <si>
    <t>Flipping Bits</t>
  </si>
  <si>
    <t>Movie Festival</t>
  </si>
  <si>
    <t>Tasks and Deadlines</t>
  </si>
  <si>
    <t>14-15</t>
  </si>
  <si>
    <t>Dynamic Programming</t>
  </si>
  <si>
    <t>0/1 Knapsack</t>
  </si>
  <si>
    <t>Subset Sum</t>
  </si>
  <si>
    <t>Longest Palindromic Subsequence</t>
  </si>
  <si>
    <t>Matrix Chain Multiplication</t>
  </si>
  <si>
    <t>Egg Dropping</t>
  </si>
  <si>
    <t>The Coin Change Problem</t>
  </si>
  <si>
    <t>Max Array Sum</t>
  </si>
  <si>
    <t>Common Child</t>
  </si>
  <si>
    <t>AtCoder</t>
  </si>
  <si>
    <t>Educational DP A - Frog 1</t>
  </si>
  <si>
    <t>Educational DP B - Frog 2</t>
  </si>
  <si>
    <t>Educational DP C - Vacation</t>
  </si>
  <si>
    <t>Educational DP D - Knapsack 1</t>
  </si>
  <si>
    <t>Educational DP F - LCS</t>
  </si>
  <si>
    <t>Dice Combinations</t>
  </si>
  <si>
    <t>Minimizing Coins</t>
  </si>
  <si>
    <t>Coin Combinations I</t>
  </si>
  <si>
    <t>Grid Paths</t>
  </si>
  <si>
    <t>16</t>
  </si>
  <si>
    <t>Advanced and Revision</t>
  </si>
  <si>
    <t>Dynamic Range Sum Queries</t>
  </si>
  <si>
    <t>Range Minimum Queries I</t>
  </si>
  <si>
    <t>LeetCode</t>
  </si>
  <si>
    <t>Weekly Contest - Mock Test 1</t>
  </si>
  <si>
    <t>Weekly Contest - Mock Test 2</t>
  </si>
  <si>
    <t>Weekly Contest - Mock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</si>
</sst>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u/>
      <sz val="10"/>
      <color rgb="FF0563C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et/?search=138" TargetMode="External"/><Relationship Id="rId21" Type="http://schemas.openxmlformats.org/officeDocument/2006/relationships/hyperlink" Target="https://leetcode.com/problemset/?search=66" TargetMode="External"/><Relationship Id="rId42" Type="http://schemas.openxmlformats.org/officeDocument/2006/relationships/hyperlink" Target="https://leetcode.com/problemset/?search=56" TargetMode="External"/><Relationship Id="rId63" Type="http://schemas.openxmlformats.org/officeDocument/2006/relationships/hyperlink" Target="https://leetcode.com/problemset/?search=146" TargetMode="External"/><Relationship Id="rId84" Type="http://schemas.openxmlformats.org/officeDocument/2006/relationships/hyperlink" Target="https://leetcode.com/problemset/?search=33" TargetMode="External"/><Relationship Id="rId138" Type="http://schemas.openxmlformats.org/officeDocument/2006/relationships/hyperlink" Target="https://leetcode.com/problemset/?search=110" TargetMode="External"/><Relationship Id="rId159" Type="http://schemas.openxmlformats.org/officeDocument/2006/relationships/hyperlink" Target="https://leetcode.com/problemset/?search=733" TargetMode="External"/><Relationship Id="rId170" Type="http://schemas.openxmlformats.org/officeDocument/2006/relationships/hyperlink" Target="https://leetcode.com/problemset/?search=743" TargetMode="External"/><Relationship Id="rId191" Type="http://schemas.openxmlformats.org/officeDocument/2006/relationships/hyperlink" Target="https://leetcode.com/problemset/?search=64" TargetMode="External"/><Relationship Id="rId205" Type="http://schemas.openxmlformats.org/officeDocument/2006/relationships/hyperlink" Target="https://leetcode.com/problemset/?search=307" TargetMode="External"/><Relationship Id="rId107" Type="http://schemas.openxmlformats.org/officeDocument/2006/relationships/hyperlink" Target="https://leetcode.com/problemset/?search=21" TargetMode="External"/><Relationship Id="rId11" Type="http://schemas.openxmlformats.org/officeDocument/2006/relationships/hyperlink" Target="https://leetcode.com/problemset/?search=1281" TargetMode="External"/><Relationship Id="rId32" Type="http://schemas.openxmlformats.org/officeDocument/2006/relationships/hyperlink" Target="https://leetcode.com/problemset/?search=136" TargetMode="External"/><Relationship Id="rId53" Type="http://schemas.openxmlformats.org/officeDocument/2006/relationships/hyperlink" Target="https://leetcode.com/problemset/?search=151" TargetMode="External"/><Relationship Id="rId74" Type="http://schemas.openxmlformats.org/officeDocument/2006/relationships/hyperlink" Target="https://leetcode.com/problemset/?search=239" TargetMode="External"/><Relationship Id="rId128" Type="http://schemas.openxmlformats.org/officeDocument/2006/relationships/hyperlink" Target="https://leetcode.com/problemset/?search=224" TargetMode="External"/><Relationship Id="rId149" Type="http://schemas.openxmlformats.org/officeDocument/2006/relationships/hyperlink" Target="https://leetcode.com/problemset/?search=297" TargetMode="External"/><Relationship Id="rId5" Type="http://schemas.openxmlformats.org/officeDocument/2006/relationships/hyperlink" Target="https://leetcode.com/problemset/?search=976" TargetMode="External"/><Relationship Id="rId95" Type="http://schemas.openxmlformats.org/officeDocument/2006/relationships/hyperlink" Target="https://leetcode.com/problemset/?search=78" TargetMode="External"/><Relationship Id="rId160" Type="http://schemas.openxmlformats.org/officeDocument/2006/relationships/hyperlink" Target="https://leetcode.com/problemset/?search=200" TargetMode="External"/><Relationship Id="rId181" Type="http://schemas.openxmlformats.org/officeDocument/2006/relationships/hyperlink" Target="https://leetcode.com/problemset/?search=763" TargetMode="External"/><Relationship Id="rId22" Type="http://schemas.openxmlformats.org/officeDocument/2006/relationships/hyperlink" Target="https://leetcode.com/problemset/?search=67" TargetMode="External"/><Relationship Id="rId43" Type="http://schemas.openxmlformats.org/officeDocument/2006/relationships/hyperlink" Target="https://leetcode.com/problemset/?search=128" TargetMode="External"/><Relationship Id="rId64" Type="http://schemas.openxmlformats.org/officeDocument/2006/relationships/hyperlink" Target="https://leetcode.com/problemset/?search=977" TargetMode="External"/><Relationship Id="rId118" Type="http://schemas.openxmlformats.org/officeDocument/2006/relationships/hyperlink" Target="https://leetcode.com/problemset/?search=25" TargetMode="External"/><Relationship Id="rId139" Type="http://schemas.openxmlformats.org/officeDocument/2006/relationships/hyperlink" Target="https://leetcode.com/problemset/?search=543" TargetMode="External"/><Relationship Id="rId85" Type="http://schemas.openxmlformats.org/officeDocument/2006/relationships/hyperlink" Target="https://leetcode.com/problemset/?search=153" TargetMode="External"/><Relationship Id="rId150" Type="http://schemas.openxmlformats.org/officeDocument/2006/relationships/hyperlink" Target="https://leetcode.com/problemset/?search=124" TargetMode="External"/><Relationship Id="rId171" Type="http://schemas.openxmlformats.org/officeDocument/2006/relationships/hyperlink" Target="https://leetcode.com/problemset/?search=787" TargetMode="External"/><Relationship Id="rId192" Type="http://schemas.openxmlformats.org/officeDocument/2006/relationships/hyperlink" Target="https://leetcode.com/problemset/?search=152" TargetMode="External"/><Relationship Id="rId206" Type="http://schemas.openxmlformats.org/officeDocument/2006/relationships/hyperlink" Target="https://leetcode.com/problemset/?search=315" TargetMode="External"/><Relationship Id="rId12" Type="http://schemas.openxmlformats.org/officeDocument/2006/relationships/hyperlink" Target="https://leetcode.com/problemset/?search=258" TargetMode="External"/><Relationship Id="rId33" Type="http://schemas.openxmlformats.org/officeDocument/2006/relationships/hyperlink" Target="https://leetcode.com/problemset/?search=169" TargetMode="External"/><Relationship Id="rId108" Type="http://schemas.openxmlformats.org/officeDocument/2006/relationships/hyperlink" Target="https://leetcode.com/problemset/?search=83" TargetMode="External"/><Relationship Id="rId129" Type="http://schemas.openxmlformats.org/officeDocument/2006/relationships/hyperlink" Target="https://leetcode.com/problemset/?search=84" TargetMode="External"/><Relationship Id="rId54" Type="http://schemas.openxmlformats.org/officeDocument/2006/relationships/hyperlink" Target="https://leetcode.com/problemset/?search=8" TargetMode="External"/><Relationship Id="rId75" Type="http://schemas.openxmlformats.org/officeDocument/2006/relationships/hyperlink" Target="https://leetcode.com/problemset/?search=1480" TargetMode="External"/><Relationship Id="rId96" Type="http://schemas.openxmlformats.org/officeDocument/2006/relationships/hyperlink" Target="https://leetcode.com/problemset/?search=90" TargetMode="External"/><Relationship Id="rId140" Type="http://schemas.openxmlformats.org/officeDocument/2006/relationships/hyperlink" Target="https://leetcode.com/problemset/?search=112" TargetMode="External"/><Relationship Id="rId161" Type="http://schemas.openxmlformats.org/officeDocument/2006/relationships/hyperlink" Target="https://leetcode.com/problemset/?search=695" TargetMode="External"/><Relationship Id="rId182" Type="http://schemas.openxmlformats.org/officeDocument/2006/relationships/hyperlink" Target="https://leetcode.com/problemset/?search=135" TargetMode="External"/><Relationship Id="rId6" Type="http://schemas.openxmlformats.org/officeDocument/2006/relationships/hyperlink" Target="https://leetcode.com/problemset/?search=836" TargetMode="External"/><Relationship Id="rId23" Type="http://schemas.openxmlformats.org/officeDocument/2006/relationships/hyperlink" Target="https://leetcode.com/problemset/?search=69" TargetMode="External"/><Relationship Id="rId119" Type="http://schemas.openxmlformats.org/officeDocument/2006/relationships/hyperlink" Target="https://leetcode.com/problemset/?search=23" TargetMode="External"/><Relationship Id="rId44" Type="http://schemas.openxmlformats.org/officeDocument/2006/relationships/hyperlink" Target="https://leetcode.com/problemset/?search=41" TargetMode="External"/><Relationship Id="rId65" Type="http://schemas.openxmlformats.org/officeDocument/2006/relationships/hyperlink" Target="https://leetcode.com/problemset/?search=392" TargetMode="External"/><Relationship Id="rId86" Type="http://schemas.openxmlformats.org/officeDocument/2006/relationships/hyperlink" Target="https://leetcode.com/problemset/?search=162" TargetMode="External"/><Relationship Id="rId130" Type="http://schemas.openxmlformats.org/officeDocument/2006/relationships/hyperlink" Target="https://leetcode.com/problemset/?search=85" TargetMode="External"/><Relationship Id="rId151" Type="http://schemas.openxmlformats.org/officeDocument/2006/relationships/hyperlink" Target="https://leetcode.com/problemset/?search=703" TargetMode="External"/><Relationship Id="rId172" Type="http://schemas.openxmlformats.org/officeDocument/2006/relationships/hyperlink" Target="https://leetcode.com/problemset/?search=1584" TargetMode="External"/><Relationship Id="rId193" Type="http://schemas.openxmlformats.org/officeDocument/2006/relationships/hyperlink" Target="https://leetcode.com/problemset/?search=416" TargetMode="External"/><Relationship Id="rId207" Type="http://schemas.openxmlformats.org/officeDocument/2006/relationships/hyperlink" Target="https://leetcode.com/problemset/?search=1235" TargetMode="External"/><Relationship Id="rId13" Type="http://schemas.openxmlformats.org/officeDocument/2006/relationships/hyperlink" Target="https://leetcode.com/problemset/?search=1688" TargetMode="External"/><Relationship Id="rId109" Type="http://schemas.openxmlformats.org/officeDocument/2006/relationships/hyperlink" Target="https://leetcode.com/problemset/?search=141" TargetMode="External"/><Relationship Id="rId34" Type="http://schemas.openxmlformats.org/officeDocument/2006/relationships/hyperlink" Target="https://leetcode.com/problemset/?search=121" TargetMode="External"/><Relationship Id="rId55" Type="http://schemas.openxmlformats.org/officeDocument/2006/relationships/hyperlink" Target="https://leetcode.com/problemset/?search=5" TargetMode="External"/><Relationship Id="rId76" Type="http://schemas.openxmlformats.org/officeDocument/2006/relationships/hyperlink" Target="https://leetcode.com/problemset/?search=303" TargetMode="External"/><Relationship Id="rId97" Type="http://schemas.openxmlformats.org/officeDocument/2006/relationships/hyperlink" Target="https://leetcode.com/problemset/?search=46" TargetMode="External"/><Relationship Id="rId120" Type="http://schemas.openxmlformats.org/officeDocument/2006/relationships/hyperlink" Target="https://leetcode.com/problemset/?search=20" TargetMode="External"/><Relationship Id="rId141" Type="http://schemas.openxmlformats.org/officeDocument/2006/relationships/hyperlink" Target="https://leetcode.com/problemset/?search=102" TargetMode="External"/><Relationship Id="rId7" Type="http://schemas.openxmlformats.org/officeDocument/2006/relationships/hyperlink" Target="https://leetcode.com/problemset/?search=1185" TargetMode="External"/><Relationship Id="rId162" Type="http://schemas.openxmlformats.org/officeDocument/2006/relationships/hyperlink" Target="https://leetcode.com/problemset/?search=133" TargetMode="External"/><Relationship Id="rId183" Type="http://schemas.openxmlformats.org/officeDocument/2006/relationships/hyperlink" Target="https://leetcode.com/problemset/?search=70" TargetMode="External"/><Relationship Id="rId24" Type="http://schemas.openxmlformats.org/officeDocument/2006/relationships/hyperlink" Target="https://leetcode.com/problemset/?search=50" TargetMode="External"/><Relationship Id="rId40" Type="http://schemas.openxmlformats.org/officeDocument/2006/relationships/hyperlink" Target="https://leetcode.com/problemset/?search=11" TargetMode="External"/><Relationship Id="rId45" Type="http://schemas.openxmlformats.org/officeDocument/2006/relationships/hyperlink" Target="https://leetcode.com/problemset/?search=42" TargetMode="External"/><Relationship Id="rId66" Type="http://schemas.openxmlformats.org/officeDocument/2006/relationships/hyperlink" Target="https://leetcode.com/problemset/?search=167" TargetMode="External"/><Relationship Id="rId87" Type="http://schemas.openxmlformats.org/officeDocument/2006/relationships/hyperlink" Target="https://leetcode.com/problemset/?search=875" TargetMode="External"/><Relationship Id="rId110" Type="http://schemas.openxmlformats.org/officeDocument/2006/relationships/hyperlink" Target="https://leetcode.com/problemset/?search=876" TargetMode="External"/><Relationship Id="rId115" Type="http://schemas.openxmlformats.org/officeDocument/2006/relationships/hyperlink" Target="https://leetcode.com/problemset/?search=142" TargetMode="External"/><Relationship Id="rId131" Type="http://schemas.openxmlformats.org/officeDocument/2006/relationships/hyperlink" Target="https://leetcode.com/problemset/?search=104" TargetMode="External"/><Relationship Id="rId136" Type="http://schemas.openxmlformats.org/officeDocument/2006/relationships/hyperlink" Target="https://leetcode.com/problemset/?search=144" TargetMode="External"/><Relationship Id="rId157" Type="http://schemas.openxmlformats.org/officeDocument/2006/relationships/hyperlink" Target="https://leetcode.com/problemset/?search=211" TargetMode="External"/><Relationship Id="rId178" Type="http://schemas.openxmlformats.org/officeDocument/2006/relationships/hyperlink" Target="https://leetcode.com/problemset/?search=45" TargetMode="External"/><Relationship Id="rId61" Type="http://schemas.openxmlformats.org/officeDocument/2006/relationships/hyperlink" Target="https://leetcode.com/problemset/?search=454" TargetMode="External"/><Relationship Id="rId82" Type="http://schemas.openxmlformats.org/officeDocument/2006/relationships/hyperlink" Target="https://leetcode.com/problemset/?search=278" TargetMode="External"/><Relationship Id="rId152" Type="http://schemas.openxmlformats.org/officeDocument/2006/relationships/hyperlink" Target="https://leetcode.com/problemset/?search=1046" TargetMode="External"/><Relationship Id="rId173" Type="http://schemas.openxmlformats.org/officeDocument/2006/relationships/hyperlink" Target="https://leetcode.com/problemset/?search=778" TargetMode="External"/><Relationship Id="rId194" Type="http://schemas.openxmlformats.org/officeDocument/2006/relationships/hyperlink" Target="https://leetcode.com/problemset/?search=494" TargetMode="External"/><Relationship Id="rId199" Type="http://schemas.openxmlformats.org/officeDocument/2006/relationships/hyperlink" Target="https://leetcode.com/problemset/?search=191" TargetMode="External"/><Relationship Id="rId203" Type="http://schemas.openxmlformats.org/officeDocument/2006/relationships/hyperlink" Target="https://leetcode.com/problemset/?search=371" TargetMode="External"/><Relationship Id="rId208" Type="http://schemas.openxmlformats.org/officeDocument/2006/relationships/hyperlink" Target="https://leetcode.com/problemset/?search=887" TargetMode="External"/><Relationship Id="rId19" Type="http://schemas.openxmlformats.org/officeDocument/2006/relationships/hyperlink" Target="https://leetcode.com/problemset/?search=204" TargetMode="External"/><Relationship Id="rId14" Type="http://schemas.openxmlformats.org/officeDocument/2006/relationships/hyperlink" Target="https://leetcode.com/problemset/?search=1518" TargetMode="External"/><Relationship Id="rId30" Type="http://schemas.openxmlformats.org/officeDocument/2006/relationships/hyperlink" Target="https://leetcode.com/problemset/?search=283" TargetMode="External"/><Relationship Id="rId35" Type="http://schemas.openxmlformats.org/officeDocument/2006/relationships/hyperlink" Target="https://leetcode.com/problemset/?search=189" TargetMode="External"/><Relationship Id="rId56" Type="http://schemas.openxmlformats.org/officeDocument/2006/relationships/hyperlink" Target="https://leetcode.com/problemset/?search=6" TargetMode="External"/><Relationship Id="rId77" Type="http://schemas.openxmlformats.org/officeDocument/2006/relationships/hyperlink" Target="https://leetcode.com/problemset/?search=724" TargetMode="External"/><Relationship Id="rId100" Type="http://schemas.openxmlformats.org/officeDocument/2006/relationships/hyperlink" Target="https://leetcode.com/problemset/?search=40" TargetMode="External"/><Relationship Id="rId105" Type="http://schemas.openxmlformats.org/officeDocument/2006/relationships/hyperlink" Target="https://leetcode.com/problemset/?search=37" TargetMode="External"/><Relationship Id="rId126" Type="http://schemas.openxmlformats.org/officeDocument/2006/relationships/hyperlink" Target="https://leetcode.com/problemset/?search=739" TargetMode="External"/><Relationship Id="rId147" Type="http://schemas.openxmlformats.org/officeDocument/2006/relationships/hyperlink" Target="https://leetcode.com/problemset/?search=105" TargetMode="External"/><Relationship Id="rId168" Type="http://schemas.openxmlformats.org/officeDocument/2006/relationships/hyperlink" Target="https://leetcode.com/problemset/?search=127" TargetMode="External"/><Relationship Id="rId8" Type="http://schemas.openxmlformats.org/officeDocument/2006/relationships/hyperlink" Target="https://leetcode.com/problemset/?search=1360" TargetMode="External"/><Relationship Id="rId51" Type="http://schemas.openxmlformats.org/officeDocument/2006/relationships/hyperlink" Target="https://leetcode.com/problemset/?search=28" TargetMode="External"/><Relationship Id="rId72" Type="http://schemas.openxmlformats.org/officeDocument/2006/relationships/hyperlink" Target="https://leetcode.com/problemset/?search=438" TargetMode="External"/><Relationship Id="rId93" Type="http://schemas.openxmlformats.org/officeDocument/2006/relationships/hyperlink" Target="https://leetcode.com/problemset/?search=215" TargetMode="External"/><Relationship Id="rId98" Type="http://schemas.openxmlformats.org/officeDocument/2006/relationships/hyperlink" Target="https://leetcode.com/problemset/?search=17" TargetMode="External"/><Relationship Id="rId121" Type="http://schemas.openxmlformats.org/officeDocument/2006/relationships/hyperlink" Target="https://leetcode.com/problemset/?search=232" TargetMode="External"/><Relationship Id="rId142" Type="http://schemas.openxmlformats.org/officeDocument/2006/relationships/hyperlink" Target="https://leetcode.com/problemset/?search=199" TargetMode="External"/><Relationship Id="rId163" Type="http://schemas.openxmlformats.org/officeDocument/2006/relationships/hyperlink" Target="https://leetcode.com/problemset/?search=547" TargetMode="External"/><Relationship Id="rId184" Type="http://schemas.openxmlformats.org/officeDocument/2006/relationships/hyperlink" Target="https://leetcode.com/problemset/?search=746" TargetMode="External"/><Relationship Id="rId189" Type="http://schemas.openxmlformats.org/officeDocument/2006/relationships/hyperlink" Target="https://leetcode.com/problemset/?search=139" TargetMode="External"/><Relationship Id="rId3" Type="http://schemas.openxmlformats.org/officeDocument/2006/relationships/hyperlink" Target="https://leetcode.com/problemset/?search=1491" TargetMode="External"/><Relationship Id="rId25" Type="http://schemas.openxmlformats.org/officeDocument/2006/relationships/hyperlink" Target="https://leetcode.com/problemset/?search=43" TargetMode="External"/><Relationship Id="rId46" Type="http://schemas.openxmlformats.org/officeDocument/2006/relationships/hyperlink" Target="https://leetcode.com/problemset/?search=344" TargetMode="External"/><Relationship Id="rId67" Type="http://schemas.openxmlformats.org/officeDocument/2006/relationships/hyperlink" Target="https://leetcode.com/problemset/?search=643" TargetMode="External"/><Relationship Id="rId116" Type="http://schemas.openxmlformats.org/officeDocument/2006/relationships/hyperlink" Target="https://leetcode.com/problemset/?search=143" TargetMode="External"/><Relationship Id="rId137" Type="http://schemas.openxmlformats.org/officeDocument/2006/relationships/hyperlink" Target="https://leetcode.com/problemset/?search=145" TargetMode="External"/><Relationship Id="rId158" Type="http://schemas.openxmlformats.org/officeDocument/2006/relationships/hyperlink" Target="https://leetcode.com/problemset/?search=212" TargetMode="External"/><Relationship Id="rId20" Type="http://schemas.openxmlformats.org/officeDocument/2006/relationships/hyperlink" Target="https://leetcode.com/problemset/?search=13" TargetMode="External"/><Relationship Id="rId41" Type="http://schemas.openxmlformats.org/officeDocument/2006/relationships/hyperlink" Target="https://leetcode.com/problemset/?search=15" TargetMode="External"/><Relationship Id="rId62" Type="http://schemas.openxmlformats.org/officeDocument/2006/relationships/hyperlink" Target="https://leetcode.com/problemset/?search=380" TargetMode="External"/><Relationship Id="rId83" Type="http://schemas.openxmlformats.org/officeDocument/2006/relationships/hyperlink" Target="https://leetcode.com/problemset/?search=34" TargetMode="External"/><Relationship Id="rId88" Type="http://schemas.openxmlformats.org/officeDocument/2006/relationships/hyperlink" Target="https://leetcode.com/problemset/?search=1011" TargetMode="External"/><Relationship Id="rId111" Type="http://schemas.openxmlformats.org/officeDocument/2006/relationships/hyperlink" Target="https://leetcode.com/problemset/?search=160" TargetMode="External"/><Relationship Id="rId132" Type="http://schemas.openxmlformats.org/officeDocument/2006/relationships/hyperlink" Target="https://leetcode.com/problemset/?search=100" TargetMode="External"/><Relationship Id="rId153" Type="http://schemas.openxmlformats.org/officeDocument/2006/relationships/hyperlink" Target="https://leetcode.com/problemset/?search=973" TargetMode="External"/><Relationship Id="rId174" Type="http://schemas.openxmlformats.org/officeDocument/2006/relationships/hyperlink" Target="https://leetcode.com/problemset/?search=455" TargetMode="External"/><Relationship Id="rId179" Type="http://schemas.openxmlformats.org/officeDocument/2006/relationships/hyperlink" Target="https://leetcode.com/problemset/?search=134" TargetMode="External"/><Relationship Id="rId195" Type="http://schemas.openxmlformats.org/officeDocument/2006/relationships/hyperlink" Target="https://leetcode.com/problemset/?search=1143" TargetMode="External"/><Relationship Id="rId190" Type="http://schemas.openxmlformats.org/officeDocument/2006/relationships/hyperlink" Target="https://leetcode.com/problemset/?search=62" TargetMode="External"/><Relationship Id="rId204" Type="http://schemas.openxmlformats.org/officeDocument/2006/relationships/hyperlink" Target="https://leetcode.com/problemset/?search=201" TargetMode="External"/><Relationship Id="rId15" Type="http://schemas.openxmlformats.org/officeDocument/2006/relationships/hyperlink" Target="https://leetcode.com/problemset/?search=509" TargetMode="External"/><Relationship Id="rId36" Type="http://schemas.openxmlformats.org/officeDocument/2006/relationships/hyperlink" Target="https://leetcode.com/problemset/?search=53" TargetMode="External"/><Relationship Id="rId57" Type="http://schemas.openxmlformats.org/officeDocument/2006/relationships/hyperlink" Target="https://leetcode.com/problemset/?search=383" TargetMode="External"/><Relationship Id="rId106" Type="http://schemas.openxmlformats.org/officeDocument/2006/relationships/hyperlink" Target="https://leetcode.com/problemset/?search=206" TargetMode="External"/><Relationship Id="rId127" Type="http://schemas.openxmlformats.org/officeDocument/2006/relationships/hyperlink" Target="https://leetcode.com/problemset/?search=394" TargetMode="External"/><Relationship Id="rId10" Type="http://schemas.openxmlformats.org/officeDocument/2006/relationships/hyperlink" Target="https://leetcode.com/problemset/?search=1342" TargetMode="External"/><Relationship Id="rId31" Type="http://schemas.openxmlformats.org/officeDocument/2006/relationships/hyperlink" Target="https://leetcode.com/problemset/?search=217" TargetMode="External"/><Relationship Id="rId52" Type="http://schemas.openxmlformats.org/officeDocument/2006/relationships/hyperlink" Target="https://leetcode.com/problemset/?search=49" TargetMode="External"/><Relationship Id="rId73" Type="http://schemas.openxmlformats.org/officeDocument/2006/relationships/hyperlink" Target="https://leetcode.com/problemset/?search=76" TargetMode="External"/><Relationship Id="rId78" Type="http://schemas.openxmlformats.org/officeDocument/2006/relationships/hyperlink" Target="https://leetcode.com/problemset/?search=525" TargetMode="External"/><Relationship Id="rId94" Type="http://schemas.openxmlformats.org/officeDocument/2006/relationships/hyperlink" Target="https://leetcode.com/problemset/?search=148" TargetMode="External"/><Relationship Id="rId99" Type="http://schemas.openxmlformats.org/officeDocument/2006/relationships/hyperlink" Target="https://leetcode.com/problemset/?search=39" TargetMode="External"/><Relationship Id="rId101" Type="http://schemas.openxmlformats.org/officeDocument/2006/relationships/hyperlink" Target="https://leetcode.com/problemset/?search=22" TargetMode="External"/><Relationship Id="rId122" Type="http://schemas.openxmlformats.org/officeDocument/2006/relationships/hyperlink" Target="https://leetcode.com/problemset/?search=225" TargetMode="External"/><Relationship Id="rId143" Type="http://schemas.openxmlformats.org/officeDocument/2006/relationships/hyperlink" Target="https://leetcode.com/problemset/?search=98" TargetMode="External"/><Relationship Id="rId148" Type="http://schemas.openxmlformats.org/officeDocument/2006/relationships/hyperlink" Target="https://leetcode.com/problemset/?search=114" TargetMode="External"/><Relationship Id="rId164" Type="http://schemas.openxmlformats.org/officeDocument/2006/relationships/hyperlink" Target="https://leetcode.com/problemset/?search=994" TargetMode="External"/><Relationship Id="rId169" Type="http://schemas.openxmlformats.org/officeDocument/2006/relationships/hyperlink" Target="https://leetcode.com/problemset/?search=684" TargetMode="External"/><Relationship Id="rId185" Type="http://schemas.openxmlformats.org/officeDocument/2006/relationships/hyperlink" Target="https://leetcode.com/problemset/?search=198" TargetMode="External"/><Relationship Id="rId4" Type="http://schemas.openxmlformats.org/officeDocument/2006/relationships/hyperlink" Target="https://leetcode.com/problemset/?search=1523" TargetMode="External"/><Relationship Id="rId9" Type="http://schemas.openxmlformats.org/officeDocument/2006/relationships/hyperlink" Target="https://leetcode.com/problemset/?search=1672" TargetMode="External"/><Relationship Id="rId180" Type="http://schemas.openxmlformats.org/officeDocument/2006/relationships/hyperlink" Target="https://leetcode.com/problemset/?search=435" TargetMode="External"/><Relationship Id="rId26" Type="http://schemas.openxmlformats.org/officeDocument/2006/relationships/hyperlink" Target="https://leetcode.com/problemset/?search=1" TargetMode="External"/><Relationship Id="rId47" Type="http://schemas.openxmlformats.org/officeDocument/2006/relationships/hyperlink" Target="https://leetcode.com/problemset/?search=125" TargetMode="External"/><Relationship Id="rId68" Type="http://schemas.openxmlformats.org/officeDocument/2006/relationships/hyperlink" Target="https://leetcode.com/problemset/?search=3" TargetMode="External"/><Relationship Id="rId89" Type="http://schemas.openxmlformats.org/officeDocument/2006/relationships/hyperlink" Target="https://leetcode.com/problemset/?search=410" TargetMode="External"/><Relationship Id="rId112" Type="http://schemas.openxmlformats.org/officeDocument/2006/relationships/hyperlink" Target="https://leetcode.com/problemset/?search=234" TargetMode="External"/><Relationship Id="rId133" Type="http://schemas.openxmlformats.org/officeDocument/2006/relationships/hyperlink" Target="https://leetcode.com/problemset/?search=226" TargetMode="External"/><Relationship Id="rId154" Type="http://schemas.openxmlformats.org/officeDocument/2006/relationships/hyperlink" Target="https://leetcode.com/problemset/?search=621" TargetMode="External"/><Relationship Id="rId175" Type="http://schemas.openxmlformats.org/officeDocument/2006/relationships/hyperlink" Target="https://leetcode.com/problemset/?search=860" TargetMode="External"/><Relationship Id="rId196" Type="http://schemas.openxmlformats.org/officeDocument/2006/relationships/hyperlink" Target="https://leetcode.com/problemset/?search=72" TargetMode="External"/><Relationship Id="rId200" Type="http://schemas.openxmlformats.org/officeDocument/2006/relationships/hyperlink" Target="https://leetcode.com/problemset/?search=231" TargetMode="External"/><Relationship Id="rId16" Type="http://schemas.openxmlformats.org/officeDocument/2006/relationships/hyperlink" Target="https://leetcode.com/problemset/?search=9" TargetMode="External"/><Relationship Id="rId37" Type="http://schemas.openxmlformats.org/officeDocument/2006/relationships/hyperlink" Target="https://leetcode.com/problemset/?search=238" TargetMode="External"/><Relationship Id="rId58" Type="http://schemas.openxmlformats.org/officeDocument/2006/relationships/hyperlink" Target="https://leetcode.com/problemset/?search=205" TargetMode="External"/><Relationship Id="rId79" Type="http://schemas.openxmlformats.org/officeDocument/2006/relationships/hyperlink" Target="https://leetcode.com/problemset/?search=974" TargetMode="External"/><Relationship Id="rId102" Type="http://schemas.openxmlformats.org/officeDocument/2006/relationships/hyperlink" Target="https://leetcode.com/problemset/?search=131" TargetMode="External"/><Relationship Id="rId123" Type="http://schemas.openxmlformats.org/officeDocument/2006/relationships/hyperlink" Target="https://leetcode.com/problemset/?search=496" TargetMode="External"/><Relationship Id="rId144" Type="http://schemas.openxmlformats.org/officeDocument/2006/relationships/hyperlink" Target="https://leetcode.com/problemset/?search=230" TargetMode="External"/><Relationship Id="rId90" Type="http://schemas.openxmlformats.org/officeDocument/2006/relationships/hyperlink" Target="https://leetcode.com/problemset/?search=4" TargetMode="External"/><Relationship Id="rId165" Type="http://schemas.openxmlformats.org/officeDocument/2006/relationships/hyperlink" Target="https://leetcode.com/problemset/?search=417" TargetMode="External"/><Relationship Id="rId186" Type="http://schemas.openxmlformats.org/officeDocument/2006/relationships/hyperlink" Target="https://leetcode.com/problemset/?search=213" TargetMode="External"/><Relationship Id="rId27" Type="http://schemas.openxmlformats.org/officeDocument/2006/relationships/hyperlink" Target="https://leetcode.com/problemset/?search=26" TargetMode="External"/><Relationship Id="rId48" Type="http://schemas.openxmlformats.org/officeDocument/2006/relationships/hyperlink" Target="https://leetcode.com/problemset/?search=242" TargetMode="External"/><Relationship Id="rId69" Type="http://schemas.openxmlformats.org/officeDocument/2006/relationships/hyperlink" Target="https://leetcode.com/problemset/?search=209" TargetMode="External"/><Relationship Id="rId113" Type="http://schemas.openxmlformats.org/officeDocument/2006/relationships/hyperlink" Target="https://leetcode.com/problemset/?search=19" TargetMode="External"/><Relationship Id="rId134" Type="http://schemas.openxmlformats.org/officeDocument/2006/relationships/hyperlink" Target="https://leetcode.com/problemset/?search=101" TargetMode="External"/><Relationship Id="rId80" Type="http://schemas.openxmlformats.org/officeDocument/2006/relationships/hyperlink" Target="https://leetcode.com/problemset/?search=704" TargetMode="External"/><Relationship Id="rId155" Type="http://schemas.openxmlformats.org/officeDocument/2006/relationships/hyperlink" Target="https://leetcode.com/problemset/?search=295" TargetMode="External"/><Relationship Id="rId176" Type="http://schemas.openxmlformats.org/officeDocument/2006/relationships/hyperlink" Target="https://leetcode.com/problemset/?search=122" TargetMode="External"/><Relationship Id="rId197" Type="http://schemas.openxmlformats.org/officeDocument/2006/relationships/hyperlink" Target="https://leetcode.com/problemset/?search=10" TargetMode="External"/><Relationship Id="rId201" Type="http://schemas.openxmlformats.org/officeDocument/2006/relationships/hyperlink" Target="https://leetcode.com/problemset/?search=338" TargetMode="External"/><Relationship Id="rId17" Type="http://schemas.openxmlformats.org/officeDocument/2006/relationships/hyperlink" Target="https://leetcode.com/problemset/?search=7" TargetMode="External"/><Relationship Id="rId38" Type="http://schemas.openxmlformats.org/officeDocument/2006/relationships/hyperlink" Target="https://leetcode.com/problemset/?search=75" TargetMode="External"/><Relationship Id="rId59" Type="http://schemas.openxmlformats.org/officeDocument/2006/relationships/hyperlink" Target="https://leetcode.com/problemset/?search=347" TargetMode="External"/><Relationship Id="rId103" Type="http://schemas.openxmlformats.org/officeDocument/2006/relationships/hyperlink" Target="https://leetcode.com/problemset/?search=79" TargetMode="External"/><Relationship Id="rId124" Type="http://schemas.openxmlformats.org/officeDocument/2006/relationships/hyperlink" Target="https://leetcode.com/problemset/?search=155" TargetMode="External"/><Relationship Id="rId70" Type="http://schemas.openxmlformats.org/officeDocument/2006/relationships/hyperlink" Target="https://leetcode.com/problemset/?search=424" TargetMode="External"/><Relationship Id="rId91" Type="http://schemas.openxmlformats.org/officeDocument/2006/relationships/hyperlink" Target="https://leetcode.com/problemset/?search=912" TargetMode="External"/><Relationship Id="rId145" Type="http://schemas.openxmlformats.org/officeDocument/2006/relationships/hyperlink" Target="https://leetcode.com/problemset/?search=235" TargetMode="External"/><Relationship Id="rId166" Type="http://schemas.openxmlformats.org/officeDocument/2006/relationships/hyperlink" Target="https://leetcode.com/problemset/?search=207" TargetMode="External"/><Relationship Id="rId187" Type="http://schemas.openxmlformats.org/officeDocument/2006/relationships/hyperlink" Target="https://leetcode.com/problemset/?search=322" TargetMode="External"/><Relationship Id="rId1" Type="http://schemas.openxmlformats.org/officeDocument/2006/relationships/hyperlink" Target="https://leetcode.com/problemset/?search=412" TargetMode="External"/><Relationship Id="rId28" Type="http://schemas.openxmlformats.org/officeDocument/2006/relationships/hyperlink" Target="https://leetcode.com/problemset/?search=27" TargetMode="External"/><Relationship Id="rId49" Type="http://schemas.openxmlformats.org/officeDocument/2006/relationships/hyperlink" Target="https://leetcode.com/problemset/?search=387" TargetMode="External"/><Relationship Id="rId114" Type="http://schemas.openxmlformats.org/officeDocument/2006/relationships/hyperlink" Target="https://leetcode.com/problemset/?search=2" TargetMode="External"/><Relationship Id="rId60" Type="http://schemas.openxmlformats.org/officeDocument/2006/relationships/hyperlink" Target="https://leetcode.com/problemset/?search=560" TargetMode="External"/><Relationship Id="rId81" Type="http://schemas.openxmlformats.org/officeDocument/2006/relationships/hyperlink" Target="https://leetcode.com/problemset/?search=35" TargetMode="External"/><Relationship Id="rId135" Type="http://schemas.openxmlformats.org/officeDocument/2006/relationships/hyperlink" Target="https://leetcode.com/problemset/?search=94" TargetMode="External"/><Relationship Id="rId156" Type="http://schemas.openxmlformats.org/officeDocument/2006/relationships/hyperlink" Target="https://leetcode.com/problemset/?search=208" TargetMode="External"/><Relationship Id="rId177" Type="http://schemas.openxmlformats.org/officeDocument/2006/relationships/hyperlink" Target="https://leetcode.com/problemset/?search=55" TargetMode="External"/><Relationship Id="rId198" Type="http://schemas.openxmlformats.org/officeDocument/2006/relationships/hyperlink" Target="https://leetcode.com/problemset/?search=312" TargetMode="External"/><Relationship Id="rId202" Type="http://schemas.openxmlformats.org/officeDocument/2006/relationships/hyperlink" Target="https://leetcode.com/problemset/?search=268" TargetMode="External"/><Relationship Id="rId18" Type="http://schemas.openxmlformats.org/officeDocument/2006/relationships/hyperlink" Target="https://leetcode.com/problemset/?search=202" TargetMode="External"/><Relationship Id="rId39" Type="http://schemas.openxmlformats.org/officeDocument/2006/relationships/hyperlink" Target="https://leetcode.com/problemset/?search=31" TargetMode="External"/><Relationship Id="rId50" Type="http://schemas.openxmlformats.org/officeDocument/2006/relationships/hyperlink" Target="https://leetcode.com/problemset/?search=14" TargetMode="External"/><Relationship Id="rId104" Type="http://schemas.openxmlformats.org/officeDocument/2006/relationships/hyperlink" Target="https://leetcode.com/problemset/?search=51" TargetMode="External"/><Relationship Id="rId125" Type="http://schemas.openxmlformats.org/officeDocument/2006/relationships/hyperlink" Target="https://leetcode.com/problemset/?search=150" TargetMode="External"/><Relationship Id="rId146" Type="http://schemas.openxmlformats.org/officeDocument/2006/relationships/hyperlink" Target="https://leetcode.com/problemset/?search=236" TargetMode="External"/><Relationship Id="rId167" Type="http://schemas.openxmlformats.org/officeDocument/2006/relationships/hyperlink" Target="https://leetcode.com/problemset/?search=210" TargetMode="External"/><Relationship Id="rId188" Type="http://schemas.openxmlformats.org/officeDocument/2006/relationships/hyperlink" Target="https://leetcode.com/problemset/?search=300" TargetMode="External"/><Relationship Id="rId71" Type="http://schemas.openxmlformats.org/officeDocument/2006/relationships/hyperlink" Target="https://leetcode.com/problemset/?search=567" TargetMode="External"/><Relationship Id="rId92" Type="http://schemas.openxmlformats.org/officeDocument/2006/relationships/hyperlink" Target="https://leetcode.com/problemset/?search=179" TargetMode="External"/><Relationship Id="rId2" Type="http://schemas.openxmlformats.org/officeDocument/2006/relationships/hyperlink" Target="https://leetcode.com/problemset/?search=1822" TargetMode="External"/><Relationship Id="rId29" Type="http://schemas.openxmlformats.org/officeDocument/2006/relationships/hyperlink" Target="https://leetcode.com/problemset/?search=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showGridLines="0" zoomScaleNormal="100" workbookViewId="0"/>
  </sheetViews>
  <sheetFormatPr defaultColWidth="8.6640625" defaultRowHeight="14.4" x14ac:dyDescent="0.3"/>
  <cols>
    <col min="1" max="1" width="48" customWidth="1"/>
    <col min="2" max="3" width="10" customWidth="1"/>
    <col min="4" max="4" width="12" customWidth="1"/>
    <col min="5" max="5" width="10" customWidth="1"/>
  </cols>
  <sheetData>
    <row r="1" spans="1:5" ht="19.5" customHeight="1" x14ac:dyDescent="0.4">
      <c r="A1" s="1" t="s">
        <v>0</v>
      </c>
    </row>
    <row r="2" spans="1:5" ht="15" customHeight="1" x14ac:dyDescent="0.3">
      <c r="A2" s="2" t="s">
        <v>1</v>
      </c>
    </row>
    <row r="4" spans="1:5" ht="24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 customHeight="1" x14ac:dyDescent="0.3">
      <c r="A5" s="4" t="s">
        <v>7</v>
      </c>
      <c r="B5" s="5">
        <f>COUNTIF('LeetCode Tracker'!$D$2:$D$209,A5)</f>
        <v>8</v>
      </c>
      <c r="C5" s="5">
        <f>COUNTIFS('LeetCode Tracker'!$D$2:$D$209,A5,'LeetCode Tracker'!$H$2:$H$209,"Solved")</f>
        <v>1</v>
      </c>
      <c r="D5" s="5">
        <f t="shared" ref="D5:D26" si="0">B5-C5</f>
        <v>7</v>
      </c>
      <c r="E5" s="6">
        <f t="shared" ref="E5:E26" si="1">IF(B5=0,0,C5/B5)</f>
        <v>0.125</v>
      </c>
    </row>
    <row r="6" spans="1:5" ht="15" customHeight="1" x14ac:dyDescent="0.3">
      <c r="A6" s="4" t="s">
        <v>8</v>
      </c>
      <c r="B6" s="5">
        <f>COUNTIF('LeetCode Tracker'!$D$2:$D$209,A6)</f>
        <v>17</v>
      </c>
      <c r="C6" s="5">
        <f>COUNTIFS('LeetCode Tracker'!$D$2:$D$209,A6,'LeetCode Tracker'!$H$2:$H$209,"Solved")</f>
        <v>0</v>
      </c>
      <c r="D6" s="5">
        <f t="shared" si="0"/>
        <v>17</v>
      </c>
      <c r="E6" s="6">
        <f t="shared" si="1"/>
        <v>0</v>
      </c>
    </row>
    <row r="7" spans="1:5" ht="15" customHeight="1" x14ac:dyDescent="0.3">
      <c r="A7" s="4" t="s">
        <v>9</v>
      </c>
      <c r="B7" s="5">
        <f>COUNTIF('LeetCode Tracker'!$D$2:$D$209,A7)</f>
        <v>20</v>
      </c>
      <c r="C7" s="5">
        <f>COUNTIFS('LeetCode Tracker'!$D$2:$D$209,A7,'LeetCode Tracker'!$H$2:$H$209,"Solved")</f>
        <v>0</v>
      </c>
      <c r="D7" s="5">
        <f t="shared" si="0"/>
        <v>20</v>
      </c>
      <c r="E7" s="6">
        <f t="shared" si="1"/>
        <v>0</v>
      </c>
    </row>
    <row r="8" spans="1:5" ht="15" customHeight="1" x14ac:dyDescent="0.3">
      <c r="A8" s="4" t="s">
        <v>10</v>
      </c>
      <c r="B8" s="5">
        <f>COUNTIF('LeetCode Tracker'!$D$2:$D$209,A8)</f>
        <v>11</v>
      </c>
      <c r="C8" s="5">
        <f>COUNTIFS('LeetCode Tracker'!$D$2:$D$209,A8,'LeetCode Tracker'!$H$2:$H$209,"Solved")</f>
        <v>0</v>
      </c>
      <c r="D8" s="5">
        <f t="shared" si="0"/>
        <v>11</v>
      </c>
      <c r="E8" s="6">
        <f t="shared" si="1"/>
        <v>0</v>
      </c>
    </row>
    <row r="9" spans="1:5" ht="15" customHeight="1" x14ac:dyDescent="0.3">
      <c r="A9" s="4" t="s">
        <v>11</v>
      </c>
      <c r="B9" s="5">
        <f>COUNTIF('LeetCode Tracker'!$D$2:$D$209,A9)</f>
        <v>7</v>
      </c>
      <c r="C9" s="5">
        <f>COUNTIFS('LeetCode Tracker'!$D$2:$D$209,A9,'LeetCode Tracker'!$H$2:$H$209,"Solved")</f>
        <v>0</v>
      </c>
      <c r="D9" s="5">
        <f t="shared" si="0"/>
        <v>7</v>
      </c>
      <c r="E9" s="6">
        <f t="shared" si="1"/>
        <v>0</v>
      </c>
    </row>
    <row r="10" spans="1:5" ht="15" customHeight="1" x14ac:dyDescent="0.3">
      <c r="A10" s="4" t="s">
        <v>12</v>
      </c>
      <c r="B10" s="5">
        <f>COUNTIF('LeetCode Tracker'!$D$2:$D$209,A10)</f>
        <v>11</v>
      </c>
      <c r="C10" s="5">
        <f>COUNTIFS('LeetCode Tracker'!$D$2:$D$209,A10,'LeetCode Tracker'!$H$2:$H$209,"Solved")</f>
        <v>0</v>
      </c>
      <c r="D10" s="5">
        <f t="shared" si="0"/>
        <v>11</v>
      </c>
      <c r="E10" s="6">
        <f t="shared" si="1"/>
        <v>0</v>
      </c>
    </row>
    <row r="11" spans="1:5" ht="15" customHeight="1" x14ac:dyDescent="0.3">
      <c r="A11" s="4" t="s">
        <v>13</v>
      </c>
      <c r="B11" s="5">
        <f>COUNTIF('LeetCode Tracker'!$D$2:$D$209,A11)</f>
        <v>5</v>
      </c>
      <c r="C11" s="5">
        <f>COUNTIFS('LeetCode Tracker'!$D$2:$D$209,A11,'LeetCode Tracker'!$H$2:$H$209,"Solved")</f>
        <v>0</v>
      </c>
      <c r="D11" s="5">
        <f t="shared" si="0"/>
        <v>5</v>
      </c>
      <c r="E11" s="6">
        <f t="shared" si="1"/>
        <v>0</v>
      </c>
    </row>
    <row r="12" spans="1:5" ht="15" customHeight="1" x14ac:dyDescent="0.3">
      <c r="A12" s="4" t="s">
        <v>14</v>
      </c>
      <c r="B12" s="5">
        <f>COUNTIF('LeetCode Tracker'!$D$2:$D$209,A12)</f>
        <v>11</v>
      </c>
      <c r="C12" s="5">
        <f>COUNTIFS('LeetCode Tracker'!$D$2:$D$209,A12,'LeetCode Tracker'!$H$2:$H$209,"Solved")</f>
        <v>0</v>
      </c>
      <c r="D12" s="5">
        <f t="shared" si="0"/>
        <v>11</v>
      </c>
      <c r="E12" s="6">
        <f t="shared" si="1"/>
        <v>0</v>
      </c>
    </row>
    <row r="13" spans="1:5" ht="15" customHeight="1" x14ac:dyDescent="0.3">
      <c r="A13" s="4" t="s">
        <v>15</v>
      </c>
      <c r="B13" s="5">
        <f>COUNTIF('LeetCode Tracker'!$D$2:$D$209,A13)</f>
        <v>4</v>
      </c>
      <c r="C13" s="5">
        <f>COUNTIFS('LeetCode Tracker'!$D$2:$D$209,A13,'LeetCode Tracker'!$H$2:$H$209,"Solved")</f>
        <v>0</v>
      </c>
      <c r="D13" s="5">
        <f t="shared" si="0"/>
        <v>4</v>
      </c>
      <c r="E13" s="6">
        <f t="shared" si="1"/>
        <v>0</v>
      </c>
    </row>
    <row r="14" spans="1:5" ht="15" customHeight="1" x14ac:dyDescent="0.3">
      <c r="A14" s="4" t="s">
        <v>16</v>
      </c>
      <c r="B14" s="5">
        <f>COUNTIF('LeetCode Tracker'!$D$2:$D$209,A14)</f>
        <v>11</v>
      </c>
      <c r="C14" s="5">
        <f>COUNTIFS('LeetCode Tracker'!$D$2:$D$209,A14,'LeetCode Tracker'!$H$2:$H$209,"Solved")</f>
        <v>0</v>
      </c>
      <c r="D14" s="5">
        <f t="shared" si="0"/>
        <v>11</v>
      </c>
      <c r="E14" s="6">
        <f t="shared" si="1"/>
        <v>0</v>
      </c>
    </row>
    <row r="15" spans="1:5" ht="15" customHeight="1" x14ac:dyDescent="0.3">
      <c r="A15" s="4" t="s">
        <v>17</v>
      </c>
      <c r="B15" s="5">
        <f>COUNTIF('LeetCode Tracker'!$D$2:$D$209,A15)</f>
        <v>14</v>
      </c>
      <c r="C15" s="5">
        <f>COUNTIFS('LeetCode Tracker'!$D$2:$D$209,A15,'LeetCode Tracker'!$H$2:$H$209,"Solved")</f>
        <v>0</v>
      </c>
      <c r="D15" s="5">
        <f t="shared" si="0"/>
        <v>14</v>
      </c>
      <c r="E15" s="6">
        <f t="shared" si="1"/>
        <v>0</v>
      </c>
    </row>
    <row r="16" spans="1:5" ht="15" customHeight="1" x14ac:dyDescent="0.3">
      <c r="A16" s="4" t="s">
        <v>18</v>
      </c>
      <c r="B16" s="5">
        <f>COUNTIF('LeetCode Tracker'!$D$2:$D$209,A16)</f>
        <v>11</v>
      </c>
      <c r="C16" s="5">
        <f>COUNTIFS('LeetCode Tracker'!$D$2:$D$209,A16,'LeetCode Tracker'!$H$2:$H$209,"Solved")</f>
        <v>0</v>
      </c>
      <c r="D16" s="5">
        <f t="shared" si="0"/>
        <v>11</v>
      </c>
      <c r="E16" s="6">
        <f t="shared" si="1"/>
        <v>0</v>
      </c>
    </row>
    <row r="17" spans="1:5" ht="15" customHeight="1" x14ac:dyDescent="0.3">
      <c r="A17" s="4" t="s">
        <v>19</v>
      </c>
      <c r="B17" s="5">
        <f>COUNTIF('LeetCode Tracker'!$D$2:$D$209,A17)</f>
        <v>20</v>
      </c>
      <c r="C17" s="5">
        <f>COUNTIFS('LeetCode Tracker'!$D$2:$D$209,A17,'LeetCode Tracker'!$H$2:$H$209,"Solved")</f>
        <v>0</v>
      </c>
      <c r="D17" s="5">
        <f t="shared" si="0"/>
        <v>20</v>
      </c>
      <c r="E17" s="6">
        <f t="shared" si="1"/>
        <v>0</v>
      </c>
    </row>
    <row r="18" spans="1:5" ht="15" customHeight="1" x14ac:dyDescent="0.3">
      <c r="A18" s="4" t="s">
        <v>20</v>
      </c>
      <c r="B18" s="5">
        <f>COUNTIF('LeetCode Tracker'!$D$2:$D$209,A18)</f>
        <v>5</v>
      </c>
      <c r="C18" s="5">
        <f>COUNTIFS('LeetCode Tracker'!$D$2:$D$209,A18,'LeetCode Tracker'!$H$2:$H$209,"Solved")</f>
        <v>0</v>
      </c>
      <c r="D18" s="5">
        <f t="shared" si="0"/>
        <v>5</v>
      </c>
      <c r="E18" s="6">
        <f t="shared" si="1"/>
        <v>0</v>
      </c>
    </row>
    <row r="19" spans="1:5" ht="15" customHeight="1" x14ac:dyDescent="0.3">
      <c r="A19" s="4" t="s">
        <v>21</v>
      </c>
      <c r="B19" s="5">
        <f>COUNTIF('LeetCode Tracker'!$D$2:$D$209,A19)</f>
        <v>3</v>
      </c>
      <c r="C19" s="5">
        <f>COUNTIFS('LeetCode Tracker'!$D$2:$D$209,A19,'LeetCode Tracker'!$H$2:$H$209,"Solved")</f>
        <v>0</v>
      </c>
      <c r="D19" s="5">
        <f t="shared" si="0"/>
        <v>3</v>
      </c>
      <c r="E19" s="6">
        <f t="shared" si="1"/>
        <v>0</v>
      </c>
    </row>
    <row r="20" spans="1:5" ht="15" customHeight="1" x14ac:dyDescent="0.3">
      <c r="A20" s="4" t="s">
        <v>22</v>
      </c>
      <c r="B20" s="5">
        <f>COUNTIF('LeetCode Tracker'!$D$2:$D$209,A20)</f>
        <v>10</v>
      </c>
      <c r="C20" s="5">
        <f>COUNTIFS('LeetCode Tracker'!$D$2:$D$209,A20,'LeetCode Tracker'!$H$2:$H$209,"Solved")</f>
        <v>0</v>
      </c>
      <c r="D20" s="5">
        <f t="shared" si="0"/>
        <v>10</v>
      </c>
      <c r="E20" s="6">
        <f t="shared" si="1"/>
        <v>0</v>
      </c>
    </row>
    <row r="21" spans="1:5" ht="15" customHeight="1" x14ac:dyDescent="0.3">
      <c r="A21" s="4" t="s">
        <v>23</v>
      </c>
      <c r="B21" s="5">
        <f>COUNTIF('LeetCode Tracker'!$D$2:$D$209,A21)</f>
        <v>5</v>
      </c>
      <c r="C21" s="5">
        <f>COUNTIFS('LeetCode Tracker'!$D$2:$D$209,A21,'LeetCode Tracker'!$H$2:$H$209,"Solved")</f>
        <v>0</v>
      </c>
      <c r="D21" s="5">
        <f t="shared" si="0"/>
        <v>5</v>
      </c>
      <c r="E21" s="6">
        <f t="shared" si="1"/>
        <v>0</v>
      </c>
    </row>
    <row r="22" spans="1:5" ht="15" customHeight="1" x14ac:dyDescent="0.3">
      <c r="A22" s="4" t="s">
        <v>24</v>
      </c>
      <c r="B22" s="5">
        <f>COUNTIF('LeetCode Tracker'!$D$2:$D$209,A22)</f>
        <v>9</v>
      </c>
      <c r="C22" s="5">
        <f>COUNTIFS('LeetCode Tracker'!$D$2:$D$209,A22,'LeetCode Tracker'!$H$2:$H$209,"Solved")</f>
        <v>0</v>
      </c>
      <c r="D22" s="5">
        <f t="shared" si="0"/>
        <v>9</v>
      </c>
      <c r="E22" s="6">
        <f t="shared" si="1"/>
        <v>0</v>
      </c>
    </row>
    <row r="23" spans="1:5" ht="15" customHeight="1" x14ac:dyDescent="0.3">
      <c r="A23" s="4" t="s">
        <v>25</v>
      </c>
      <c r="B23" s="5">
        <f>COUNTIF('LeetCode Tracker'!$D$2:$D$209,A23)</f>
        <v>16</v>
      </c>
      <c r="C23" s="5">
        <f>COUNTIFS('LeetCode Tracker'!$D$2:$D$209,A23,'LeetCode Tracker'!$H$2:$H$209,"Solved")</f>
        <v>0</v>
      </c>
      <c r="D23" s="5">
        <f t="shared" si="0"/>
        <v>16</v>
      </c>
      <c r="E23" s="6">
        <f t="shared" si="1"/>
        <v>0</v>
      </c>
    </row>
    <row r="24" spans="1:5" ht="15" customHeight="1" x14ac:dyDescent="0.3">
      <c r="A24" s="4" t="s">
        <v>26</v>
      </c>
      <c r="B24" s="5">
        <f>COUNTIF('LeetCode Tracker'!$D$2:$D$209,A24)</f>
        <v>6</v>
      </c>
      <c r="C24" s="5">
        <f>COUNTIFS('LeetCode Tracker'!$D$2:$D$209,A24,'LeetCode Tracker'!$H$2:$H$209,"Solved")</f>
        <v>0</v>
      </c>
      <c r="D24" s="5">
        <f t="shared" si="0"/>
        <v>6</v>
      </c>
      <c r="E24" s="6">
        <f t="shared" si="1"/>
        <v>0</v>
      </c>
    </row>
    <row r="25" spans="1:5" ht="15" customHeight="1" x14ac:dyDescent="0.3">
      <c r="A25" s="4" t="s">
        <v>27</v>
      </c>
      <c r="B25" s="5">
        <f>COUNTIF('LeetCode Tracker'!$D$2:$D$209,A25)</f>
        <v>4</v>
      </c>
      <c r="C25" s="5">
        <f>COUNTIFS('LeetCode Tracker'!$D$2:$D$209,A25,'LeetCode Tracker'!$H$2:$H$209,"Solved")</f>
        <v>0</v>
      </c>
      <c r="D25" s="5">
        <f t="shared" si="0"/>
        <v>4</v>
      </c>
      <c r="E25" s="6">
        <f t="shared" si="1"/>
        <v>0</v>
      </c>
    </row>
    <row r="26" spans="1:5" ht="15" customHeight="1" x14ac:dyDescent="0.3">
      <c r="A26" s="7" t="s">
        <v>28</v>
      </c>
      <c r="B26" s="8">
        <f>SUM(B5:B25)</f>
        <v>208</v>
      </c>
      <c r="C26" s="8">
        <f>SUM(C5:C25)</f>
        <v>1</v>
      </c>
      <c r="D26" s="8">
        <f t="shared" si="0"/>
        <v>207</v>
      </c>
      <c r="E26" s="9">
        <f t="shared" si="1"/>
        <v>4.807692307692308E-3</v>
      </c>
    </row>
    <row r="28" spans="1:5" ht="24" customHeight="1" x14ac:dyDescent="0.3">
      <c r="A28" s="3" t="s">
        <v>29</v>
      </c>
      <c r="B28" s="3" t="s">
        <v>3</v>
      </c>
      <c r="C28" s="3" t="s">
        <v>4</v>
      </c>
      <c r="D28" s="3" t="s">
        <v>5</v>
      </c>
      <c r="E28" s="3" t="s">
        <v>6</v>
      </c>
    </row>
    <row r="29" spans="1:5" ht="15" customHeight="1" x14ac:dyDescent="0.3">
      <c r="A29" s="4" t="s">
        <v>30</v>
      </c>
      <c r="B29" s="5">
        <f>COUNTIF('LeetCode Tracker'!$G$2:$G$209,A29)</f>
        <v>79</v>
      </c>
      <c r="C29" s="5">
        <f>COUNTIFS('LeetCode Tracker'!$G$2:$G$209,A29,'LeetCode Tracker'!$H$2:$H$209,"Solved")</f>
        <v>1</v>
      </c>
      <c r="D29" s="5">
        <f>B29-C29</f>
        <v>78</v>
      </c>
      <c r="E29" s="6">
        <f>IF(B29=0,0,C29/B29)</f>
        <v>1.2658227848101266E-2</v>
      </c>
    </row>
    <row r="30" spans="1:5" ht="15" customHeight="1" x14ac:dyDescent="0.3">
      <c r="A30" s="4" t="s">
        <v>31</v>
      </c>
      <c r="B30" s="5">
        <f>COUNTIF('LeetCode Tracker'!$G$2:$G$209,A30)</f>
        <v>104</v>
      </c>
      <c r="C30" s="5">
        <f>COUNTIFS('LeetCode Tracker'!$G$2:$G$209,A30,'LeetCode Tracker'!$H$2:$H$209,"Solved")</f>
        <v>0</v>
      </c>
      <c r="D30" s="5">
        <f>B30-C30</f>
        <v>104</v>
      </c>
      <c r="E30" s="6">
        <f>IF(B30=0,0,C30/B30)</f>
        <v>0</v>
      </c>
    </row>
    <row r="31" spans="1:5" ht="15" customHeight="1" x14ac:dyDescent="0.3">
      <c r="A31" s="4" t="s">
        <v>32</v>
      </c>
      <c r="B31" s="5">
        <f>COUNTIF('LeetCode Tracker'!$G$2:$G$209,A31)</f>
        <v>25</v>
      </c>
      <c r="C31" s="5">
        <f>COUNTIFS('LeetCode Tracker'!$G$2:$G$209,A31,'LeetCode Tracker'!$H$2:$H$209,"Solved")</f>
        <v>0</v>
      </c>
      <c r="D31" s="5">
        <f>B31-C31</f>
        <v>25</v>
      </c>
      <c r="E31" s="6">
        <f>IF(B31=0,0,C31/B31)</f>
        <v>0</v>
      </c>
    </row>
    <row r="33" spans="1:5" ht="24" customHeight="1" x14ac:dyDescent="0.3">
      <c r="A33" s="3" t="s">
        <v>33</v>
      </c>
      <c r="B33" s="3" t="s">
        <v>3</v>
      </c>
      <c r="C33" s="3" t="s">
        <v>4</v>
      </c>
      <c r="D33" s="3" t="s">
        <v>5</v>
      </c>
      <c r="E33" s="3" t="s">
        <v>6</v>
      </c>
    </row>
    <row r="34" spans="1:5" ht="15" customHeight="1" x14ac:dyDescent="0.3">
      <c r="A34" s="4" t="s">
        <v>34</v>
      </c>
      <c r="B34" s="5">
        <f>COUNTA('Extra Practice'!$E$2:$E$130)</f>
        <v>129</v>
      </c>
      <c r="C34" s="5">
        <f>COUNTIF('Extra Practice'!$F$2:$F$130,"Solved")</f>
        <v>0</v>
      </c>
      <c r="D34" s="5">
        <f>B34-C34</f>
        <v>129</v>
      </c>
      <c r="E34" s="6">
        <f>IF(B34=0,0,C34/B34)</f>
        <v>0</v>
      </c>
    </row>
    <row r="35" spans="1:5" ht="15" customHeight="1" x14ac:dyDescent="0.3">
      <c r="A35" s="4" t="s">
        <v>35</v>
      </c>
      <c r="B35" s="5">
        <f>COUNTIF('LeetCode Tracker'!$H$2:$H$209,"Needs Revision")</f>
        <v>0</v>
      </c>
    </row>
    <row r="36" spans="1:5" x14ac:dyDescent="0.3">
      <c r="A36" s="4" t="s">
        <v>36</v>
      </c>
      <c r="B36" s="10">
        <f>COUNTA('Logic Building'!$D$2:$D$90)</f>
        <v>89</v>
      </c>
      <c r="C36" s="10">
        <f>COUNTIF('Logic Building'!$F$2:$F$90,"Solved")</f>
        <v>0</v>
      </c>
      <c r="D36" s="10">
        <f>B36-C36</f>
        <v>89</v>
      </c>
      <c r="E36" s="11">
        <f>IF(B36=0,0,C36/B36)</f>
        <v>0</v>
      </c>
    </row>
    <row r="37" spans="1:5" ht="15" customHeight="1" x14ac:dyDescent="0.3"/>
    <row r="38" spans="1:5" ht="15" customHeight="1" x14ac:dyDescent="0.3">
      <c r="A38" s="12" t="s">
        <v>37</v>
      </c>
    </row>
    <row r="39" spans="1:5" ht="15" customHeight="1" x14ac:dyDescent="0.3">
      <c r="A39" s="13" t="s">
        <v>38</v>
      </c>
    </row>
    <row r="40" spans="1:5" ht="15" customHeight="1" x14ac:dyDescent="0.3">
      <c r="A40" s="13" t="s">
        <v>39</v>
      </c>
    </row>
    <row r="41" spans="1:5" ht="15" customHeight="1" x14ac:dyDescent="0.3">
      <c r="A41" s="13" t="s">
        <v>40</v>
      </c>
    </row>
    <row r="42" spans="1:5" ht="15" customHeight="1" x14ac:dyDescent="0.3">
      <c r="A42" s="13" t="s">
        <v>41</v>
      </c>
    </row>
    <row r="43" spans="1:5" ht="15" customHeight="1" x14ac:dyDescent="0.3">
      <c r="A43" s="13" t="s">
        <v>42</v>
      </c>
    </row>
    <row r="44" spans="1:5" ht="15" customHeight="1" x14ac:dyDescent="0.3">
      <c r="A44" s="13" t="s">
        <v>43</v>
      </c>
    </row>
    <row r="45" spans="1:5" x14ac:dyDescent="0.3">
      <c r="A45" s="13" t="s">
        <v>44</v>
      </c>
    </row>
    <row r="46" spans="1:5" x14ac:dyDescent="0.3">
      <c r="A46" s="13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6" customWidth="1"/>
    <col min="3" max="3" width="34" customWidth="1"/>
    <col min="4" max="4" width="58" customWidth="1"/>
    <col min="5" max="5" width="44" customWidth="1"/>
    <col min="6" max="6" width="16" customWidth="1"/>
    <col min="7" max="7" width="14" customWidth="1"/>
    <col min="8" max="8" width="36" customWidth="1"/>
  </cols>
  <sheetData>
    <row r="1" spans="1:8" ht="24" customHeight="1" x14ac:dyDescent="0.3">
      <c r="A1" s="14" t="s">
        <v>46</v>
      </c>
      <c r="B1" s="14" t="s">
        <v>47</v>
      </c>
      <c r="C1" s="14" t="s">
        <v>2</v>
      </c>
      <c r="D1" s="14" t="s">
        <v>48</v>
      </c>
      <c r="E1" s="14" t="s">
        <v>49</v>
      </c>
      <c r="F1" s="14" t="s">
        <v>50</v>
      </c>
      <c r="G1" s="14" t="s">
        <v>51</v>
      </c>
      <c r="H1" s="14" t="s">
        <v>52</v>
      </c>
    </row>
    <row r="2" spans="1:8" ht="26.4" x14ac:dyDescent="0.3">
      <c r="A2" s="10">
        <v>1</v>
      </c>
      <c r="B2" s="10">
        <v>1</v>
      </c>
      <c r="C2" s="4" t="s">
        <v>53</v>
      </c>
      <c r="D2" s="4" t="s">
        <v>54</v>
      </c>
      <c r="E2" s="4" t="s">
        <v>55</v>
      </c>
      <c r="F2" s="10" t="s">
        <v>56</v>
      </c>
      <c r="G2" s="15"/>
      <c r="H2" s="4"/>
    </row>
    <row r="3" spans="1:8" ht="26.4" x14ac:dyDescent="0.3">
      <c r="A3" s="10">
        <v>2</v>
      </c>
      <c r="B3" s="10">
        <v>1</v>
      </c>
      <c r="C3" s="4" t="s">
        <v>53</v>
      </c>
      <c r="D3" s="4" t="s">
        <v>57</v>
      </c>
      <c r="E3" s="4" t="s">
        <v>55</v>
      </c>
      <c r="F3" s="10" t="s">
        <v>56</v>
      </c>
      <c r="G3" s="15"/>
      <c r="H3" s="4"/>
    </row>
    <row r="4" spans="1:8" ht="26.4" x14ac:dyDescent="0.3">
      <c r="A4" s="10">
        <v>3</v>
      </c>
      <c r="B4" s="10">
        <v>1</v>
      </c>
      <c r="C4" s="4" t="s">
        <v>53</v>
      </c>
      <c r="D4" s="4" t="s">
        <v>58</v>
      </c>
      <c r="E4" s="4" t="s">
        <v>55</v>
      </c>
      <c r="F4" s="10" t="s">
        <v>56</v>
      </c>
      <c r="G4" s="15"/>
      <c r="H4" s="4"/>
    </row>
    <row r="5" spans="1:8" ht="26.4" x14ac:dyDescent="0.3">
      <c r="A5" s="10">
        <v>4</v>
      </c>
      <c r="B5" s="10">
        <v>1</v>
      </c>
      <c r="C5" s="4" t="s">
        <v>53</v>
      </c>
      <c r="D5" s="4" t="s">
        <v>59</v>
      </c>
      <c r="E5" s="4" t="s">
        <v>55</v>
      </c>
      <c r="F5" s="10" t="s">
        <v>56</v>
      </c>
      <c r="G5" s="15"/>
      <c r="H5" s="4"/>
    </row>
    <row r="6" spans="1:8" ht="26.4" x14ac:dyDescent="0.3">
      <c r="A6" s="10">
        <v>5</v>
      </c>
      <c r="B6" s="10">
        <v>1</v>
      </c>
      <c r="C6" s="4" t="s">
        <v>53</v>
      </c>
      <c r="D6" s="4" t="s">
        <v>60</v>
      </c>
      <c r="E6" s="4" t="s">
        <v>55</v>
      </c>
      <c r="F6" s="10" t="s">
        <v>56</v>
      </c>
      <c r="G6" s="15"/>
      <c r="H6" s="4"/>
    </row>
    <row r="7" spans="1:8" ht="26.4" x14ac:dyDescent="0.3">
      <c r="A7" s="10">
        <v>6</v>
      </c>
      <c r="B7" s="10">
        <v>1</v>
      </c>
      <c r="C7" s="4" t="s">
        <v>53</v>
      </c>
      <c r="D7" s="4" t="s">
        <v>61</v>
      </c>
      <c r="E7" s="4" t="s">
        <v>55</v>
      </c>
      <c r="F7" s="10" t="s">
        <v>56</v>
      </c>
      <c r="G7" s="15"/>
      <c r="H7" s="4"/>
    </row>
    <row r="8" spans="1:8" ht="26.4" x14ac:dyDescent="0.3">
      <c r="A8" s="10">
        <v>7</v>
      </c>
      <c r="B8" s="10">
        <v>1</v>
      </c>
      <c r="C8" s="4" t="s">
        <v>53</v>
      </c>
      <c r="D8" s="4" t="s">
        <v>62</v>
      </c>
      <c r="E8" s="4" t="s">
        <v>55</v>
      </c>
      <c r="F8" s="10" t="s">
        <v>56</v>
      </c>
      <c r="G8" s="15"/>
      <c r="H8" s="4"/>
    </row>
    <row r="9" spans="1:8" ht="26.4" x14ac:dyDescent="0.3">
      <c r="A9" s="10">
        <v>8</v>
      </c>
      <c r="B9" s="10">
        <v>1</v>
      </c>
      <c r="C9" s="4" t="s">
        <v>53</v>
      </c>
      <c r="D9" s="4" t="s">
        <v>63</v>
      </c>
      <c r="E9" s="4" t="s">
        <v>55</v>
      </c>
      <c r="F9" s="10" t="s">
        <v>56</v>
      </c>
      <c r="G9" s="15"/>
      <c r="H9" s="4"/>
    </row>
    <row r="10" spans="1:8" x14ac:dyDescent="0.3">
      <c r="A10" s="10">
        <v>9</v>
      </c>
      <c r="B10" s="10">
        <v>2</v>
      </c>
      <c r="C10" s="4" t="s">
        <v>64</v>
      </c>
      <c r="D10" s="4" t="s">
        <v>65</v>
      </c>
      <c r="E10" s="4" t="s">
        <v>66</v>
      </c>
      <c r="F10" s="10" t="s">
        <v>56</v>
      </c>
      <c r="G10" s="15"/>
      <c r="H10" s="4"/>
    </row>
    <row r="11" spans="1:8" x14ac:dyDescent="0.3">
      <c r="A11" s="10">
        <v>10</v>
      </c>
      <c r="B11" s="10">
        <v>2</v>
      </c>
      <c r="C11" s="4" t="s">
        <v>64</v>
      </c>
      <c r="D11" s="4" t="s">
        <v>67</v>
      </c>
      <c r="E11" s="4" t="s">
        <v>66</v>
      </c>
      <c r="F11" s="10" t="s">
        <v>56</v>
      </c>
      <c r="G11" s="15"/>
      <c r="H11" s="4"/>
    </row>
    <row r="12" spans="1:8" x14ac:dyDescent="0.3">
      <c r="A12" s="10">
        <v>11</v>
      </c>
      <c r="B12" s="10">
        <v>2</v>
      </c>
      <c r="C12" s="4" t="s">
        <v>64</v>
      </c>
      <c r="D12" s="4" t="s">
        <v>68</v>
      </c>
      <c r="E12" s="4" t="s">
        <v>66</v>
      </c>
      <c r="F12" s="10" t="s">
        <v>56</v>
      </c>
      <c r="G12" s="15"/>
      <c r="H12" s="4"/>
    </row>
    <row r="13" spans="1:8" x14ac:dyDescent="0.3">
      <c r="A13" s="10">
        <v>12</v>
      </c>
      <c r="B13" s="10">
        <v>2</v>
      </c>
      <c r="C13" s="4" t="s">
        <v>64</v>
      </c>
      <c r="D13" s="4" t="s">
        <v>69</v>
      </c>
      <c r="E13" s="4" t="s">
        <v>66</v>
      </c>
      <c r="F13" s="10" t="s">
        <v>56</v>
      </c>
      <c r="G13" s="15"/>
      <c r="H13" s="4"/>
    </row>
    <row r="14" spans="1:8" x14ac:dyDescent="0.3">
      <c r="A14" s="10">
        <v>13</v>
      </c>
      <c r="B14" s="10">
        <v>2</v>
      </c>
      <c r="C14" s="4" t="s">
        <v>64</v>
      </c>
      <c r="D14" s="4" t="s">
        <v>70</v>
      </c>
      <c r="E14" s="4" t="s">
        <v>66</v>
      </c>
      <c r="F14" s="10" t="s">
        <v>56</v>
      </c>
      <c r="G14" s="15"/>
      <c r="H14" s="4"/>
    </row>
    <row r="15" spans="1:8" x14ac:dyDescent="0.3">
      <c r="A15" s="10">
        <v>14</v>
      </c>
      <c r="B15" s="10">
        <v>2</v>
      </c>
      <c r="C15" s="4" t="s">
        <v>64</v>
      </c>
      <c r="D15" s="4" t="s">
        <v>71</v>
      </c>
      <c r="E15" s="4" t="s">
        <v>66</v>
      </c>
      <c r="F15" s="10" t="s">
        <v>56</v>
      </c>
      <c r="G15" s="15"/>
      <c r="H15" s="4"/>
    </row>
    <row r="16" spans="1:8" x14ac:dyDescent="0.3">
      <c r="A16" s="10">
        <v>15</v>
      </c>
      <c r="B16" s="10">
        <v>2</v>
      </c>
      <c r="C16" s="4" t="s">
        <v>64</v>
      </c>
      <c r="D16" s="4" t="s">
        <v>72</v>
      </c>
      <c r="E16" s="4" t="s">
        <v>66</v>
      </c>
      <c r="F16" s="10" t="s">
        <v>56</v>
      </c>
      <c r="G16" s="15"/>
      <c r="H16" s="4"/>
    </row>
    <row r="17" spans="1:8" x14ac:dyDescent="0.3">
      <c r="A17" s="10">
        <v>16</v>
      </c>
      <c r="B17" s="10">
        <v>2</v>
      </c>
      <c r="C17" s="4" t="s">
        <v>64</v>
      </c>
      <c r="D17" s="4" t="s">
        <v>73</v>
      </c>
      <c r="E17" s="4" t="s">
        <v>66</v>
      </c>
      <c r="F17" s="10" t="s">
        <v>56</v>
      </c>
      <c r="G17" s="15"/>
      <c r="H17" s="4"/>
    </row>
    <row r="18" spans="1:8" x14ac:dyDescent="0.3">
      <c r="A18" s="10">
        <v>17</v>
      </c>
      <c r="B18" s="10">
        <v>3</v>
      </c>
      <c r="C18" s="4" t="s">
        <v>74</v>
      </c>
      <c r="D18" s="4" t="s">
        <v>75</v>
      </c>
      <c r="E18" s="4" t="s">
        <v>76</v>
      </c>
      <c r="F18" s="10" t="s">
        <v>56</v>
      </c>
      <c r="G18" s="15"/>
      <c r="H18" s="4"/>
    </row>
    <row r="19" spans="1:8" x14ac:dyDescent="0.3">
      <c r="A19" s="10">
        <v>18</v>
      </c>
      <c r="B19" s="10">
        <v>3</v>
      </c>
      <c r="C19" s="4" t="s">
        <v>74</v>
      </c>
      <c r="D19" s="4" t="s">
        <v>77</v>
      </c>
      <c r="E19" s="4" t="s">
        <v>76</v>
      </c>
      <c r="F19" s="10" t="s">
        <v>56</v>
      </c>
      <c r="G19" s="15"/>
      <c r="H19" s="4"/>
    </row>
    <row r="20" spans="1:8" x14ac:dyDescent="0.3">
      <c r="A20" s="10">
        <v>19</v>
      </c>
      <c r="B20" s="10">
        <v>3</v>
      </c>
      <c r="C20" s="4" t="s">
        <v>74</v>
      </c>
      <c r="D20" s="4" t="s">
        <v>78</v>
      </c>
      <c r="E20" s="4" t="s">
        <v>76</v>
      </c>
      <c r="F20" s="10" t="s">
        <v>56</v>
      </c>
      <c r="G20" s="15"/>
      <c r="H20" s="4"/>
    </row>
    <row r="21" spans="1:8" x14ac:dyDescent="0.3">
      <c r="A21" s="10">
        <v>20</v>
      </c>
      <c r="B21" s="10">
        <v>3</v>
      </c>
      <c r="C21" s="4" t="s">
        <v>74</v>
      </c>
      <c r="D21" s="4" t="s">
        <v>79</v>
      </c>
      <c r="E21" s="4" t="s">
        <v>76</v>
      </c>
      <c r="F21" s="10" t="s">
        <v>56</v>
      </c>
      <c r="G21" s="15"/>
      <c r="H21" s="4"/>
    </row>
    <row r="22" spans="1:8" x14ac:dyDescent="0.3">
      <c r="A22" s="10">
        <v>21</v>
      </c>
      <c r="B22" s="10">
        <v>3</v>
      </c>
      <c r="C22" s="4" t="s">
        <v>74</v>
      </c>
      <c r="D22" s="4" t="s">
        <v>80</v>
      </c>
      <c r="E22" s="4" t="s">
        <v>76</v>
      </c>
      <c r="F22" s="10" t="s">
        <v>56</v>
      </c>
      <c r="G22" s="15"/>
      <c r="H22" s="4"/>
    </row>
    <row r="23" spans="1:8" x14ac:dyDescent="0.3">
      <c r="A23" s="10">
        <v>22</v>
      </c>
      <c r="B23" s="10">
        <v>3</v>
      </c>
      <c r="C23" s="4" t="s">
        <v>74</v>
      </c>
      <c r="D23" s="4" t="s">
        <v>81</v>
      </c>
      <c r="E23" s="4" t="s">
        <v>76</v>
      </c>
      <c r="F23" s="10" t="s">
        <v>56</v>
      </c>
      <c r="G23" s="15"/>
      <c r="H23" s="4"/>
    </row>
    <row r="24" spans="1:8" x14ac:dyDescent="0.3">
      <c r="A24" s="10">
        <v>23</v>
      </c>
      <c r="B24" s="10">
        <v>3</v>
      </c>
      <c r="C24" s="4" t="s">
        <v>74</v>
      </c>
      <c r="D24" s="4" t="s">
        <v>82</v>
      </c>
      <c r="E24" s="4" t="s">
        <v>76</v>
      </c>
      <c r="F24" s="10" t="s">
        <v>56</v>
      </c>
      <c r="G24" s="15"/>
      <c r="H24" s="4"/>
    </row>
    <row r="25" spans="1:8" x14ac:dyDescent="0.3">
      <c r="A25" s="10">
        <v>24</v>
      </c>
      <c r="B25" s="10">
        <v>3</v>
      </c>
      <c r="C25" s="4" t="s">
        <v>74</v>
      </c>
      <c r="D25" s="4" t="s">
        <v>83</v>
      </c>
      <c r="E25" s="4" t="s">
        <v>76</v>
      </c>
      <c r="F25" s="10" t="s">
        <v>56</v>
      </c>
      <c r="G25" s="15"/>
      <c r="H25" s="4"/>
    </row>
    <row r="26" spans="1:8" x14ac:dyDescent="0.3">
      <c r="A26" s="10">
        <v>25</v>
      </c>
      <c r="B26" s="10">
        <v>3</v>
      </c>
      <c r="C26" s="4" t="s">
        <v>74</v>
      </c>
      <c r="D26" s="4" t="s">
        <v>84</v>
      </c>
      <c r="E26" s="4" t="s">
        <v>76</v>
      </c>
      <c r="F26" s="10" t="s">
        <v>56</v>
      </c>
      <c r="G26" s="15"/>
      <c r="H26" s="4"/>
    </row>
    <row r="27" spans="1:8" x14ac:dyDescent="0.3">
      <c r="A27" s="10">
        <v>26</v>
      </c>
      <c r="B27" s="10">
        <v>3</v>
      </c>
      <c r="C27" s="4" t="s">
        <v>74</v>
      </c>
      <c r="D27" s="4" t="s">
        <v>85</v>
      </c>
      <c r="E27" s="4" t="s">
        <v>76</v>
      </c>
      <c r="F27" s="10" t="s">
        <v>56</v>
      </c>
      <c r="G27" s="15"/>
      <c r="H27" s="4"/>
    </row>
    <row r="28" spans="1:8" x14ac:dyDescent="0.3">
      <c r="A28" s="10">
        <v>27</v>
      </c>
      <c r="B28" s="10">
        <v>4</v>
      </c>
      <c r="C28" s="4" t="s">
        <v>86</v>
      </c>
      <c r="D28" s="4" t="s">
        <v>87</v>
      </c>
      <c r="E28" s="4" t="s">
        <v>88</v>
      </c>
      <c r="F28" s="10" t="s">
        <v>56</v>
      </c>
      <c r="G28" s="15"/>
      <c r="H28" s="4"/>
    </row>
    <row r="29" spans="1:8" x14ac:dyDescent="0.3">
      <c r="A29" s="10">
        <v>28</v>
      </c>
      <c r="B29" s="10">
        <v>4</v>
      </c>
      <c r="C29" s="4" t="s">
        <v>86</v>
      </c>
      <c r="D29" s="4" t="s">
        <v>89</v>
      </c>
      <c r="E29" s="4" t="s">
        <v>88</v>
      </c>
      <c r="F29" s="10" t="s">
        <v>56</v>
      </c>
      <c r="G29" s="15"/>
      <c r="H29" s="4"/>
    </row>
    <row r="30" spans="1:8" x14ac:dyDescent="0.3">
      <c r="A30" s="10">
        <v>29</v>
      </c>
      <c r="B30" s="10">
        <v>4</v>
      </c>
      <c r="C30" s="4" t="s">
        <v>86</v>
      </c>
      <c r="D30" s="4" t="s">
        <v>90</v>
      </c>
      <c r="E30" s="4" t="s">
        <v>88</v>
      </c>
      <c r="F30" s="10" t="s">
        <v>56</v>
      </c>
      <c r="G30" s="15"/>
      <c r="H30" s="4"/>
    </row>
    <row r="31" spans="1:8" x14ac:dyDescent="0.3">
      <c r="A31" s="10">
        <v>30</v>
      </c>
      <c r="B31" s="10">
        <v>4</v>
      </c>
      <c r="C31" s="4" t="s">
        <v>86</v>
      </c>
      <c r="D31" s="4" t="s">
        <v>91</v>
      </c>
      <c r="E31" s="4" t="s">
        <v>88</v>
      </c>
      <c r="F31" s="10" t="s">
        <v>56</v>
      </c>
      <c r="G31" s="15"/>
      <c r="H31" s="4"/>
    </row>
    <row r="32" spans="1:8" x14ac:dyDescent="0.3">
      <c r="A32" s="10">
        <v>31</v>
      </c>
      <c r="B32" s="10">
        <v>4</v>
      </c>
      <c r="C32" s="4" t="s">
        <v>86</v>
      </c>
      <c r="D32" s="4" t="s">
        <v>92</v>
      </c>
      <c r="E32" s="4" t="s">
        <v>88</v>
      </c>
      <c r="F32" s="10" t="s">
        <v>56</v>
      </c>
      <c r="G32" s="15"/>
      <c r="H32" s="4"/>
    </row>
    <row r="33" spans="1:8" x14ac:dyDescent="0.3">
      <c r="A33" s="10">
        <v>32</v>
      </c>
      <c r="B33" s="10">
        <v>4</v>
      </c>
      <c r="C33" s="4" t="s">
        <v>86</v>
      </c>
      <c r="D33" s="4" t="s">
        <v>93</v>
      </c>
      <c r="E33" s="4" t="s">
        <v>88</v>
      </c>
      <c r="F33" s="10" t="s">
        <v>56</v>
      </c>
      <c r="G33" s="15"/>
      <c r="H33" s="4"/>
    </row>
    <row r="34" spans="1:8" x14ac:dyDescent="0.3">
      <c r="A34" s="10">
        <v>33</v>
      </c>
      <c r="B34" s="10">
        <v>4</v>
      </c>
      <c r="C34" s="4" t="s">
        <v>86</v>
      </c>
      <c r="D34" s="4" t="s">
        <v>94</v>
      </c>
      <c r="E34" s="4" t="s">
        <v>88</v>
      </c>
      <c r="F34" s="10" t="s">
        <v>56</v>
      </c>
      <c r="G34" s="15"/>
      <c r="H34" s="4"/>
    </row>
    <row r="35" spans="1:8" x14ac:dyDescent="0.3">
      <c r="A35" s="10">
        <v>34</v>
      </c>
      <c r="B35" s="10">
        <v>4</v>
      </c>
      <c r="C35" s="4" t="s">
        <v>86</v>
      </c>
      <c r="D35" s="4" t="s">
        <v>95</v>
      </c>
      <c r="E35" s="4" t="s">
        <v>88</v>
      </c>
      <c r="F35" s="10" t="s">
        <v>56</v>
      </c>
      <c r="G35" s="15"/>
      <c r="H35" s="4"/>
    </row>
    <row r="36" spans="1:8" x14ac:dyDescent="0.3">
      <c r="A36" s="10">
        <v>35</v>
      </c>
      <c r="B36" s="10">
        <v>5</v>
      </c>
      <c r="C36" s="4" t="s">
        <v>96</v>
      </c>
      <c r="D36" s="4" t="s">
        <v>97</v>
      </c>
      <c r="E36" s="4" t="s">
        <v>88</v>
      </c>
      <c r="F36" s="10" t="s">
        <v>56</v>
      </c>
      <c r="G36" s="15"/>
      <c r="H36" s="4"/>
    </row>
    <row r="37" spans="1:8" x14ac:dyDescent="0.3">
      <c r="A37" s="10">
        <v>36</v>
      </c>
      <c r="B37" s="10">
        <v>5</v>
      </c>
      <c r="C37" s="4" t="s">
        <v>96</v>
      </c>
      <c r="D37" s="4" t="s">
        <v>98</v>
      </c>
      <c r="E37" s="4" t="s">
        <v>88</v>
      </c>
      <c r="F37" s="10" t="s">
        <v>56</v>
      </c>
      <c r="G37" s="15"/>
      <c r="H37" s="4"/>
    </row>
    <row r="38" spans="1:8" x14ac:dyDescent="0.3">
      <c r="A38" s="10">
        <v>37</v>
      </c>
      <c r="B38" s="10">
        <v>5</v>
      </c>
      <c r="C38" s="4" t="s">
        <v>96</v>
      </c>
      <c r="D38" s="4" t="s">
        <v>99</v>
      </c>
      <c r="E38" s="4" t="s">
        <v>88</v>
      </c>
      <c r="F38" s="10" t="s">
        <v>56</v>
      </c>
      <c r="G38" s="15"/>
      <c r="H38" s="4"/>
    </row>
    <row r="39" spans="1:8" x14ac:dyDescent="0.3">
      <c r="A39" s="10">
        <v>38</v>
      </c>
      <c r="B39" s="10">
        <v>5</v>
      </c>
      <c r="C39" s="4" t="s">
        <v>96</v>
      </c>
      <c r="D39" s="4" t="s">
        <v>100</v>
      </c>
      <c r="E39" s="4" t="s">
        <v>88</v>
      </c>
      <c r="F39" s="10" t="s">
        <v>56</v>
      </c>
      <c r="G39" s="15"/>
      <c r="H39" s="4"/>
    </row>
    <row r="40" spans="1:8" x14ac:dyDescent="0.3">
      <c r="A40" s="10">
        <v>39</v>
      </c>
      <c r="B40" s="10">
        <v>5</v>
      </c>
      <c r="C40" s="4" t="s">
        <v>96</v>
      </c>
      <c r="D40" s="4" t="s">
        <v>101</v>
      </c>
      <c r="E40" s="4" t="s">
        <v>88</v>
      </c>
      <c r="F40" s="10" t="s">
        <v>56</v>
      </c>
      <c r="G40" s="15"/>
      <c r="H40" s="4"/>
    </row>
    <row r="41" spans="1:8" x14ac:dyDescent="0.3">
      <c r="A41" s="10">
        <v>40</v>
      </c>
      <c r="B41" s="10">
        <v>5</v>
      </c>
      <c r="C41" s="4" t="s">
        <v>96</v>
      </c>
      <c r="D41" s="4" t="s">
        <v>102</v>
      </c>
      <c r="E41" s="4" t="s">
        <v>88</v>
      </c>
      <c r="F41" s="10" t="s">
        <v>56</v>
      </c>
      <c r="G41" s="15"/>
      <c r="H41" s="4"/>
    </row>
    <row r="42" spans="1:8" x14ac:dyDescent="0.3">
      <c r="A42" s="10">
        <v>41</v>
      </c>
      <c r="B42" s="10">
        <v>5</v>
      </c>
      <c r="C42" s="4" t="s">
        <v>96</v>
      </c>
      <c r="D42" s="4" t="s">
        <v>103</v>
      </c>
      <c r="E42" s="4" t="s">
        <v>88</v>
      </c>
      <c r="F42" s="10" t="s">
        <v>56</v>
      </c>
      <c r="G42" s="15"/>
      <c r="H42" s="4"/>
    </row>
    <row r="43" spans="1:8" x14ac:dyDescent="0.3">
      <c r="A43" s="10">
        <v>42</v>
      </c>
      <c r="B43" s="10">
        <v>6</v>
      </c>
      <c r="C43" s="4" t="s">
        <v>104</v>
      </c>
      <c r="D43" s="4" t="s">
        <v>105</v>
      </c>
      <c r="E43" s="4" t="s">
        <v>106</v>
      </c>
      <c r="F43" s="10" t="s">
        <v>56</v>
      </c>
      <c r="G43" s="15"/>
      <c r="H43" s="4"/>
    </row>
    <row r="44" spans="1:8" x14ac:dyDescent="0.3">
      <c r="A44" s="10">
        <v>43</v>
      </c>
      <c r="B44" s="10">
        <v>6</v>
      </c>
      <c r="C44" s="4" t="s">
        <v>104</v>
      </c>
      <c r="D44" s="4" t="s">
        <v>107</v>
      </c>
      <c r="E44" s="4" t="s">
        <v>106</v>
      </c>
      <c r="F44" s="10" t="s">
        <v>56</v>
      </c>
      <c r="G44" s="15"/>
      <c r="H44" s="4"/>
    </row>
    <row r="45" spans="1:8" x14ac:dyDescent="0.3">
      <c r="A45" s="10">
        <v>44</v>
      </c>
      <c r="B45" s="10">
        <v>6</v>
      </c>
      <c r="C45" s="4" t="s">
        <v>104</v>
      </c>
      <c r="D45" s="4" t="s">
        <v>108</v>
      </c>
      <c r="E45" s="4" t="s">
        <v>106</v>
      </c>
      <c r="F45" s="10" t="s">
        <v>56</v>
      </c>
      <c r="G45" s="15"/>
      <c r="H45" s="4"/>
    </row>
    <row r="46" spans="1:8" x14ac:dyDescent="0.3">
      <c r="A46" s="10">
        <v>45</v>
      </c>
      <c r="B46" s="10">
        <v>6</v>
      </c>
      <c r="C46" s="4" t="s">
        <v>104</v>
      </c>
      <c r="D46" s="4" t="s">
        <v>109</v>
      </c>
      <c r="E46" s="4" t="s">
        <v>106</v>
      </c>
      <c r="F46" s="10" t="s">
        <v>56</v>
      </c>
      <c r="G46" s="15"/>
      <c r="H46" s="4"/>
    </row>
    <row r="47" spans="1:8" x14ac:dyDescent="0.3">
      <c r="A47" s="10">
        <v>46</v>
      </c>
      <c r="B47" s="10">
        <v>6</v>
      </c>
      <c r="C47" s="4" t="s">
        <v>104</v>
      </c>
      <c r="D47" s="4" t="s">
        <v>110</v>
      </c>
      <c r="E47" s="4" t="s">
        <v>106</v>
      </c>
      <c r="F47" s="10" t="s">
        <v>56</v>
      </c>
      <c r="G47" s="15"/>
      <c r="H47" s="4"/>
    </row>
    <row r="48" spans="1:8" x14ac:dyDescent="0.3">
      <c r="A48" s="10">
        <v>47</v>
      </c>
      <c r="B48" s="10">
        <v>6</v>
      </c>
      <c r="C48" s="4" t="s">
        <v>104</v>
      </c>
      <c r="D48" s="4" t="s">
        <v>111</v>
      </c>
      <c r="E48" s="4" t="s">
        <v>106</v>
      </c>
      <c r="F48" s="10" t="s">
        <v>56</v>
      </c>
      <c r="G48" s="15"/>
      <c r="H48" s="4"/>
    </row>
    <row r="49" spans="1:8" x14ac:dyDescent="0.3">
      <c r="A49" s="10">
        <v>48</v>
      </c>
      <c r="B49" s="10">
        <v>6</v>
      </c>
      <c r="C49" s="4" t="s">
        <v>104</v>
      </c>
      <c r="D49" s="4" t="s">
        <v>112</v>
      </c>
      <c r="E49" s="4" t="s">
        <v>106</v>
      </c>
      <c r="F49" s="10" t="s">
        <v>56</v>
      </c>
      <c r="G49" s="15"/>
      <c r="H49" s="4"/>
    </row>
    <row r="50" spans="1:8" x14ac:dyDescent="0.3">
      <c r="A50" s="10">
        <v>49</v>
      </c>
      <c r="B50" s="10">
        <v>6</v>
      </c>
      <c r="C50" s="4" t="s">
        <v>104</v>
      </c>
      <c r="D50" s="4" t="s">
        <v>113</v>
      </c>
      <c r="E50" s="4" t="s">
        <v>106</v>
      </c>
      <c r="F50" s="10" t="s">
        <v>56</v>
      </c>
      <c r="G50" s="15"/>
      <c r="H50" s="4"/>
    </row>
    <row r="51" spans="1:8" x14ac:dyDescent="0.3">
      <c r="A51" s="10">
        <v>50</v>
      </c>
      <c r="B51" s="10">
        <v>6</v>
      </c>
      <c r="C51" s="4" t="s">
        <v>104</v>
      </c>
      <c r="D51" s="4" t="s">
        <v>114</v>
      </c>
      <c r="E51" s="4" t="s">
        <v>106</v>
      </c>
      <c r="F51" s="10" t="s">
        <v>56</v>
      </c>
      <c r="G51" s="15"/>
      <c r="H51" s="4"/>
    </row>
    <row r="52" spans="1:8" x14ac:dyDescent="0.3">
      <c r="A52" s="10">
        <v>51</v>
      </c>
      <c r="B52" s="10">
        <v>6</v>
      </c>
      <c r="C52" s="4" t="s">
        <v>104</v>
      </c>
      <c r="D52" s="4" t="s">
        <v>115</v>
      </c>
      <c r="E52" s="4" t="s">
        <v>106</v>
      </c>
      <c r="F52" s="10" t="s">
        <v>56</v>
      </c>
      <c r="G52" s="15"/>
      <c r="H52" s="4"/>
    </row>
    <row r="53" spans="1:8" x14ac:dyDescent="0.3">
      <c r="A53" s="10">
        <v>52</v>
      </c>
      <c r="B53" s="10">
        <v>6</v>
      </c>
      <c r="C53" s="4" t="s">
        <v>104</v>
      </c>
      <c r="D53" s="4" t="s">
        <v>116</v>
      </c>
      <c r="E53" s="4" t="s">
        <v>106</v>
      </c>
      <c r="F53" s="10" t="s">
        <v>56</v>
      </c>
      <c r="G53" s="15"/>
      <c r="H53" s="4"/>
    </row>
    <row r="54" spans="1:8" x14ac:dyDescent="0.3">
      <c r="A54" s="10">
        <v>53</v>
      </c>
      <c r="B54" s="10">
        <v>6</v>
      </c>
      <c r="C54" s="4" t="s">
        <v>104</v>
      </c>
      <c r="D54" s="4" t="s">
        <v>117</v>
      </c>
      <c r="E54" s="4" t="s">
        <v>106</v>
      </c>
      <c r="F54" s="10" t="s">
        <v>56</v>
      </c>
      <c r="G54" s="15"/>
      <c r="H54" s="4"/>
    </row>
    <row r="55" spans="1:8" x14ac:dyDescent="0.3">
      <c r="A55" s="10">
        <v>54</v>
      </c>
      <c r="B55" s="10">
        <v>7</v>
      </c>
      <c r="C55" s="4" t="s">
        <v>118</v>
      </c>
      <c r="D55" s="4" t="s">
        <v>119</v>
      </c>
      <c r="E55" s="4" t="s">
        <v>120</v>
      </c>
      <c r="F55" s="10" t="s">
        <v>56</v>
      </c>
      <c r="G55" s="15"/>
      <c r="H55" s="4"/>
    </row>
    <row r="56" spans="1:8" x14ac:dyDescent="0.3">
      <c r="A56" s="10">
        <v>55</v>
      </c>
      <c r="B56" s="10">
        <v>7</v>
      </c>
      <c r="C56" s="4" t="s">
        <v>118</v>
      </c>
      <c r="D56" s="4" t="s">
        <v>121</v>
      </c>
      <c r="E56" s="4" t="s">
        <v>120</v>
      </c>
      <c r="F56" s="10" t="s">
        <v>56</v>
      </c>
      <c r="G56" s="15"/>
      <c r="H56" s="4"/>
    </row>
    <row r="57" spans="1:8" x14ac:dyDescent="0.3">
      <c r="A57" s="10">
        <v>56</v>
      </c>
      <c r="B57" s="10">
        <v>7</v>
      </c>
      <c r="C57" s="4" t="s">
        <v>118</v>
      </c>
      <c r="D57" s="4" t="s">
        <v>122</v>
      </c>
      <c r="E57" s="4" t="s">
        <v>120</v>
      </c>
      <c r="F57" s="10" t="s">
        <v>56</v>
      </c>
      <c r="G57" s="15"/>
      <c r="H57" s="4"/>
    </row>
    <row r="58" spans="1:8" x14ac:dyDescent="0.3">
      <c r="A58" s="10">
        <v>57</v>
      </c>
      <c r="B58" s="10">
        <v>7</v>
      </c>
      <c r="C58" s="4" t="s">
        <v>118</v>
      </c>
      <c r="D58" s="4" t="s">
        <v>123</v>
      </c>
      <c r="E58" s="4" t="s">
        <v>120</v>
      </c>
      <c r="F58" s="10" t="s">
        <v>56</v>
      </c>
      <c r="G58" s="15"/>
      <c r="H58" s="4"/>
    </row>
    <row r="59" spans="1:8" x14ac:dyDescent="0.3">
      <c r="A59" s="10">
        <v>58</v>
      </c>
      <c r="B59" s="10">
        <v>7</v>
      </c>
      <c r="C59" s="4" t="s">
        <v>118</v>
      </c>
      <c r="D59" s="4" t="s">
        <v>124</v>
      </c>
      <c r="E59" s="4" t="s">
        <v>120</v>
      </c>
      <c r="F59" s="10" t="s">
        <v>56</v>
      </c>
      <c r="G59" s="15"/>
      <c r="H59" s="4"/>
    </row>
    <row r="60" spans="1:8" x14ac:dyDescent="0.3">
      <c r="A60" s="10">
        <v>59</v>
      </c>
      <c r="B60" s="10">
        <v>7</v>
      </c>
      <c r="C60" s="4" t="s">
        <v>118</v>
      </c>
      <c r="D60" s="4" t="s">
        <v>125</v>
      </c>
      <c r="E60" s="4" t="s">
        <v>120</v>
      </c>
      <c r="F60" s="10" t="s">
        <v>56</v>
      </c>
      <c r="G60" s="15"/>
      <c r="H60" s="4"/>
    </row>
    <row r="61" spans="1:8" x14ac:dyDescent="0.3">
      <c r="A61" s="10">
        <v>60</v>
      </c>
      <c r="B61" s="10">
        <v>7</v>
      </c>
      <c r="C61" s="4" t="s">
        <v>118</v>
      </c>
      <c r="D61" s="4" t="s">
        <v>126</v>
      </c>
      <c r="E61" s="4" t="s">
        <v>120</v>
      </c>
      <c r="F61" s="10" t="s">
        <v>56</v>
      </c>
      <c r="G61" s="15"/>
      <c r="H61" s="4"/>
    </row>
    <row r="62" spans="1:8" x14ac:dyDescent="0.3">
      <c r="A62" s="10">
        <v>61</v>
      </c>
      <c r="B62" s="10">
        <v>7</v>
      </c>
      <c r="C62" s="4" t="s">
        <v>118</v>
      </c>
      <c r="D62" s="4" t="s">
        <v>127</v>
      </c>
      <c r="E62" s="4" t="s">
        <v>120</v>
      </c>
      <c r="F62" s="10" t="s">
        <v>56</v>
      </c>
      <c r="G62" s="15"/>
      <c r="H62" s="4"/>
    </row>
    <row r="63" spans="1:8" x14ac:dyDescent="0.3">
      <c r="A63" s="10">
        <v>62</v>
      </c>
      <c r="B63" s="10">
        <v>7</v>
      </c>
      <c r="C63" s="4" t="s">
        <v>118</v>
      </c>
      <c r="D63" s="4" t="s">
        <v>128</v>
      </c>
      <c r="E63" s="4" t="s">
        <v>120</v>
      </c>
      <c r="F63" s="10" t="s">
        <v>56</v>
      </c>
      <c r="G63" s="15"/>
      <c r="H63" s="4"/>
    </row>
    <row r="64" spans="1:8" x14ac:dyDescent="0.3">
      <c r="A64" s="10">
        <v>63</v>
      </c>
      <c r="B64" s="10">
        <v>8</v>
      </c>
      <c r="C64" s="4" t="s">
        <v>129</v>
      </c>
      <c r="D64" s="4" t="s">
        <v>130</v>
      </c>
      <c r="E64" s="4" t="s">
        <v>131</v>
      </c>
      <c r="F64" s="10" t="s">
        <v>56</v>
      </c>
      <c r="G64" s="15"/>
      <c r="H64" s="4"/>
    </row>
    <row r="65" spans="1:8" x14ac:dyDescent="0.3">
      <c r="A65" s="10">
        <v>64</v>
      </c>
      <c r="B65" s="10">
        <v>8</v>
      </c>
      <c r="C65" s="4" t="s">
        <v>129</v>
      </c>
      <c r="D65" s="4" t="s">
        <v>132</v>
      </c>
      <c r="E65" s="4" t="s">
        <v>131</v>
      </c>
      <c r="F65" s="10" t="s">
        <v>56</v>
      </c>
      <c r="G65" s="15"/>
      <c r="H65" s="4"/>
    </row>
    <row r="66" spans="1:8" x14ac:dyDescent="0.3">
      <c r="A66" s="10">
        <v>65</v>
      </c>
      <c r="B66" s="10">
        <v>8</v>
      </c>
      <c r="C66" s="4" t="s">
        <v>129</v>
      </c>
      <c r="D66" s="4" t="s">
        <v>133</v>
      </c>
      <c r="E66" s="4" t="s">
        <v>131</v>
      </c>
      <c r="F66" s="10" t="s">
        <v>56</v>
      </c>
      <c r="G66" s="15"/>
      <c r="H66" s="4"/>
    </row>
    <row r="67" spans="1:8" x14ac:dyDescent="0.3">
      <c r="A67" s="10">
        <v>66</v>
      </c>
      <c r="B67" s="10">
        <v>8</v>
      </c>
      <c r="C67" s="4" t="s">
        <v>129</v>
      </c>
      <c r="D67" s="4" t="s">
        <v>134</v>
      </c>
      <c r="E67" s="4" t="s">
        <v>131</v>
      </c>
      <c r="F67" s="10" t="s">
        <v>56</v>
      </c>
      <c r="G67" s="15"/>
      <c r="H67" s="4"/>
    </row>
    <row r="68" spans="1:8" x14ac:dyDescent="0.3">
      <c r="A68" s="10">
        <v>67</v>
      </c>
      <c r="B68" s="10">
        <v>8</v>
      </c>
      <c r="C68" s="4" t="s">
        <v>129</v>
      </c>
      <c r="D68" s="4" t="s">
        <v>135</v>
      </c>
      <c r="E68" s="4" t="s">
        <v>131</v>
      </c>
      <c r="F68" s="10" t="s">
        <v>56</v>
      </c>
      <c r="G68" s="15"/>
      <c r="H68" s="4"/>
    </row>
    <row r="69" spans="1:8" x14ac:dyDescent="0.3">
      <c r="A69" s="10">
        <v>68</v>
      </c>
      <c r="B69" s="10">
        <v>8</v>
      </c>
      <c r="C69" s="4" t="s">
        <v>129</v>
      </c>
      <c r="D69" s="4" t="s">
        <v>136</v>
      </c>
      <c r="E69" s="4" t="s">
        <v>131</v>
      </c>
      <c r="F69" s="10" t="s">
        <v>56</v>
      </c>
      <c r="G69" s="15"/>
      <c r="H69" s="4"/>
    </row>
    <row r="70" spans="1:8" x14ac:dyDescent="0.3">
      <c r="A70" s="10">
        <v>69</v>
      </c>
      <c r="B70" s="10">
        <v>8</v>
      </c>
      <c r="C70" s="4" t="s">
        <v>129</v>
      </c>
      <c r="D70" s="4" t="s">
        <v>137</v>
      </c>
      <c r="E70" s="4" t="s">
        <v>131</v>
      </c>
      <c r="F70" s="10" t="s">
        <v>56</v>
      </c>
      <c r="G70" s="15"/>
      <c r="H70" s="4"/>
    </row>
    <row r="71" spans="1:8" x14ac:dyDescent="0.3">
      <c r="A71" s="10">
        <v>70</v>
      </c>
      <c r="B71" s="10">
        <v>8</v>
      </c>
      <c r="C71" s="4" t="s">
        <v>129</v>
      </c>
      <c r="D71" s="4" t="s">
        <v>138</v>
      </c>
      <c r="E71" s="4" t="s">
        <v>131</v>
      </c>
      <c r="F71" s="10" t="s">
        <v>56</v>
      </c>
      <c r="G71" s="15"/>
      <c r="H71" s="4"/>
    </row>
    <row r="72" spans="1:8" x14ac:dyDescent="0.3">
      <c r="A72" s="10">
        <v>71</v>
      </c>
      <c r="B72" s="10">
        <v>8</v>
      </c>
      <c r="C72" s="4" t="s">
        <v>129</v>
      </c>
      <c r="D72" s="4" t="s">
        <v>139</v>
      </c>
      <c r="E72" s="4" t="s">
        <v>131</v>
      </c>
      <c r="F72" s="10" t="s">
        <v>56</v>
      </c>
      <c r="G72" s="15"/>
      <c r="H72" s="4"/>
    </row>
    <row r="73" spans="1:8" x14ac:dyDescent="0.3">
      <c r="A73" s="10">
        <v>72</v>
      </c>
      <c r="B73" s="10">
        <v>8</v>
      </c>
      <c r="C73" s="4" t="s">
        <v>129</v>
      </c>
      <c r="D73" s="4" t="s">
        <v>140</v>
      </c>
      <c r="E73" s="4" t="s">
        <v>131</v>
      </c>
      <c r="F73" s="10" t="s">
        <v>56</v>
      </c>
      <c r="G73" s="15"/>
      <c r="H73" s="4"/>
    </row>
    <row r="74" spans="1:8" x14ac:dyDescent="0.3">
      <c r="A74" s="10">
        <v>73</v>
      </c>
      <c r="B74" s="10">
        <v>8</v>
      </c>
      <c r="C74" s="4" t="s">
        <v>129</v>
      </c>
      <c r="D74" s="4" t="s">
        <v>141</v>
      </c>
      <c r="E74" s="4" t="s">
        <v>131</v>
      </c>
      <c r="F74" s="10" t="s">
        <v>56</v>
      </c>
      <c r="G74" s="15"/>
      <c r="H74" s="4"/>
    </row>
    <row r="75" spans="1:8" x14ac:dyDescent="0.3">
      <c r="A75" s="10">
        <v>74</v>
      </c>
      <c r="B75" s="10">
        <v>8</v>
      </c>
      <c r="C75" s="4" t="s">
        <v>129</v>
      </c>
      <c r="D75" s="4" t="s">
        <v>142</v>
      </c>
      <c r="E75" s="4" t="s">
        <v>131</v>
      </c>
      <c r="F75" s="10" t="s">
        <v>56</v>
      </c>
      <c r="G75" s="15"/>
      <c r="H75" s="4"/>
    </row>
    <row r="76" spans="1:8" x14ac:dyDescent="0.3">
      <c r="A76" s="10">
        <v>75</v>
      </c>
      <c r="B76" s="10">
        <v>9</v>
      </c>
      <c r="C76" s="4" t="s">
        <v>143</v>
      </c>
      <c r="D76" s="4" t="s">
        <v>144</v>
      </c>
      <c r="E76" s="4" t="s">
        <v>145</v>
      </c>
      <c r="F76" s="10" t="s">
        <v>56</v>
      </c>
      <c r="G76" s="15"/>
      <c r="H76" s="4"/>
    </row>
    <row r="77" spans="1:8" x14ac:dyDescent="0.3">
      <c r="A77" s="10">
        <v>76</v>
      </c>
      <c r="B77" s="10">
        <v>9</v>
      </c>
      <c r="C77" s="4" t="s">
        <v>143</v>
      </c>
      <c r="D77" s="4" t="s">
        <v>146</v>
      </c>
      <c r="E77" s="4" t="s">
        <v>145</v>
      </c>
      <c r="F77" s="10" t="s">
        <v>56</v>
      </c>
      <c r="G77" s="15"/>
      <c r="H77" s="4"/>
    </row>
    <row r="78" spans="1:8" x14ac:dyDescent="0.3">
      <c r="A78" s="10">
        <v>77</v>
      </c>
      <c r="B78" s="10">
        <v>9</v>
      </c>
      <c r="C78" s="4" t="s">
        <v>143</v>
      </c>
      <c r="D78" s="4" t="s">
        <v>147</v>
      </c>
      <c r="E78" s="4" t="s">
        <v>145</v>
      </c>
      <c r="F78" s="10" t="s">
        <v>56</v>
      </c>
      <c r="G78" s="15"/>
      <c r="H78" s="4"/>
    </row>
    <row r="79" spans="1:8" x14ac:dyDescent="0.3">
      <c r="A79" s="10">
        <v>78</v>
      </c>
      <c r="B79" s="10">
        <v>9</v>
      </c>
      <c r="C79" s="4" t="s">
        <v>143</v>
      </c>
      <c r="D79" s="4" t="s">
        <v>148</v>
      </c>
      <c r="E79" s="4" t="s">
        <v>145</v>
      </c>
      <c r="F79" s="10" t="s">
        <v>56</v>
      </c>
      <c r="G79" s="15"/>
      <c r="H79" s="4"/>
    </row>
    <row r="80" spans="1:8" x14ac:dyDescent="0.3">
      <c r="A80" s="10">
        <v>79</v>
      </c>
      <c r="B80" s="10">
        <v>9</v>
      </c>
      <c r="C80" s="4" t="s">
        <v>143</v>
      </c>
      <c r="D80" s="4" t="s">
        <v>149</v>
      </c>
      <c r="E80" s="4" t="s">
        <v>145</v>
      </c>
      <c r="F80" s="10" t="s">
        <v>56</v>
      </c>
      <c r="G80" s="15"/>
      <c r="H80" s="4"/>
    </row>
    <row r="81" spans="1:8" x14ac:dyDescent="0.3">
      <c r="A81" s="10">
        <v>80</v>
      </c>
      <c r="B81" s="10">
        <v>9</v>
      </c>
      <c r="C81" s="4" t="s">
        <v>143</v>
      </c>
      <c r="D81" s="4" t="s">
        <v>150</v>
      </c>
      <c r="E81" s="4" t="s">
        <v>145</v>
      </c>
      <c r="F81" s="10" t="s">
        <v>56</v>
      </c>
      <c r="G81" s="15"/>
      <c r="H81" s="4"/>
    </row>
    <row r="82" spans="1:8" x14ac:dyDescent="0.3">
      <c r="A82" s="10">
        <v>81</v>
      </c>
      <c r="B82" s="10">
        <v>9</v>
      </c>
      <c r="C82" s="4" t="s">
        <v>143</v>
      </c>
      <c r="D82" s="4" t="s">
        <v>151</v>
      </c>
      <c r="E82" s="4" t="s">
        <v>145</v>
      </c>
      <c r="F82" s="10" t="s">
        <v>56</v>
      </c>
      <c r="G82" s="15"/>
      <c r="H82" s="4"/>
    </row>
    <row r="83" spans="1:8" x14ac:dyDescent="0.3">
      <c r="A83" s="10">
        <v>82</v>
      </c>
      <c r="B83" s="10">
        <v>9</v>
      </c>
      <c r="C83" s="4" t="s">
        <v>143</v>
      </c>
      <c r="D83" s="4" t="s">
        <v>152</v>
      </c>
      <c r="E83" s="4" t="s">
        <v>145</v>
      </c>
      <c r="F83" s="10" t="s">
        <v>56</v>
      </c>
      <c r="G83" s="15"/>
      <c r="H83" s="4"/>
    </row>
    <row r="84" spans="1:8" x14ac:dyDescent="0.3">
      <c r="A84" s="10">
        <v>83</v>
      </c>
      <c r="B84" s="10">
        <v>9</v>
      </c>
      <c r="C84" s="4" t="s">
        <v>143</v>
      </c>
      <c r="D84" s="4" t="s">
        <v>153</v>
      </c>
      <c r="E84" s="4" t="s">
        <v>145</v>
      </c>
      <c r="F84" s="10" t="s">
        <v>56</v>
      </c>
      <c r="G84" s="15"/>
      <c r="H84" s="4"/>
    </row>
    <row r="85" spans="1:8" x14ac:dyDescent="0.3">
      <c r="A85" s="10">
        <v>84</v>
      </c>
      <c r="B85" s="10">
        <v>9</v>
      </c>
      <c r="C85" s="4" t="s">
        <v>143</v>
      </c>
      <c r="D85" s="4" t="s">
        <v>154</v>
      </c>
      <c r="E85" s="4" t="s">
        <v>145</v>
      </c>
      <c r="F85" s="10" t="s">
        <v>56</v>
      </c>
      <c r="G85" s="15"/>
      <c r="H85" s="4"/>
    </row>
    <row r="86" spans="1:8" ht="26.4" x14ac:dyDescent="0.3">
      <c r="A86" s="10">
        <v>85</v>
      </c>
      <c r="B86" s="10">
        <v>10</v>
      </c>
      <c r="C86" s="4" t="s">
        <v>155</v>
      </c>
      <c r="D86" s="4" t="s">
        <v>156</v>
      </c>
      <c r="E86" s="4" t="s">
        <v>157</v>
      </c>
      <c r="F86" s="10" t="s">
        <v>56</v>
      </c>
      <c r="G86" s="15"/>
      <c r="H86" s="4"/>
    </row>
    <row r="87" spans="1:8" ht="26.4" x14ac:dyDescent="0.3">
      <c r="A87" s="10">
        <v>86</v>
      </c>
      <c r="B87" s="10">
        <v>10</v>
      </c>
      <c r="C87" s="4" t="s">
        <v>155</v>
      </c>
      <c r="D87" s="4" t="s">
        <v>158</v>
      </c>
      <c r="E87" s="4" t="s">
        <v>157</v>
      </c>
      <c r="F87" s="10" t="s">
        <v>56</v>
      </c>
      <c r="G87" s="15"/>
      <c r="H87" s="4"/>
    </row>
    <row r="88" spans="1:8" ht="26.4" x14ac:dyDescent="0.3">
      <c r="A88" s="10">
        <v>87</v>
      </c>
      <c r="B88" s="10">
        <v>10</v>
      </c>
      <c r="C88" s="4" t="s">
        <v>155</v>
      </c>
      <c r="D88" s="4" t="s">
        <v>159</v>
      </c>
      <c r="E88" s="4" t="s">
        <v>157</v>
      </c>
      <c r="F88" s="10" t="s">
        <v>56</v>
      </c>
      <c r="G88" s="15"/>
      <c r="H88" s="4"/>
    </row>
    <row r="89" spans="1:8" ht="26.4" x14ac:dyDescent="0.3">
      <c r="A89" s="10">
        <v>88</v>
      </c>
      <c r="B89" s="10">
        <v>10</v>
      </c>
      <c r="C89" s="4" t="s">
        <v>155</v>
      </c>
      <c r="D89" s="4" t="s">
        <v>160</v>
      </c>
      <c r="E89" s="4" t="s">
        <v>157</v>
      </c>
      <c r="F89" s="10" t="s">
        <v>56</v>
      </c>
      <c r="G89" s="15"/>
      <c r="H89" s="4"/>
    </row>
    <row r="90" spans="1:8" ht="26.4" x14ac:dyDescent="0.3">
      <c r="A90" s="10">
        <v>89</v>
      </c>
      <c r="B90" s="10">
        <v>10</v>
      </c>
      <c r="C90" s="4" t="s">
        <v>155</v>
      </c>
      <c r="D90" s="4" t="s">
        <v>161</v>
      </c>
      <c r="E90" s="4" t="s">
        <v>157</v>
      </c>
      <c r="F90" s="10" t="s">
        <v>56</v>
      </c>
      <c r="G90" s="15"/>
      <c r="H90" s="4"/>
    </row>
  </sheetData>
  <autoFilter ref="A1:H90" xr:uid="{00000000-0009-0000-0000-000001000000}"/>
  <conditionalFormatting sqref="F2:F90">
    <cfRule type="cellIs" dxfId="11" priority="2" operator="equal">
      <formula>"Solved"</formula>
    </cfRule>
    <cfRule type="cellIs" dxfId="10" priority="3" operator="equal">
      <formula>"In Progress"</formula>
    </cfRule>
    <cfRule type="cellIs" dxfId="9" priority="4" operator="equal">
      <formula>"Needs Revision"</formula>
    </cfRule>
  </conditionalFormatting>
  <dataValidations count="1">
    <dataValidation type="list" sqref="F2:F90" xr:uid="{00000000-0002-0000-0100-000000000000}">
      <formula1>"Not Started,In Progress,Solved,Needs Revision"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34" customWidth="1"/>
    <col min="3" max="3" width="48" customWidth="1"/>
    <col min="4" max="4" width="70" customWidth="1"/>
    <col min="5" max="5" width="10" customWidth="1"/>
  </cols>
  <sheetData>
    <row r="1" spans="1:5" ht="24" customHeight="1" x14ac:dyDescent="0.3">
      <c r="A1" s="14" t="s">
        <v>47</v>
      </c>
      <c r="B1" s="14" t="s">
        <v>162</v>
      </c>
      <c r="C1" s="14" t="s">
        <v>163</v>
      </c>
      <c r="D1" s="14" t="s">
        <v>164</v>
      </c>
      <c r="E1" s="14" t="s">
        <v>165</v>
      </c>
    </row>
    <row r="2" spans="1:5" ht="26.4" x14ac:dyDescent="0.3">
      <c r="A2" s="10">
        <v>1</v>
      </c>
      <c r="B2" s="4" t="s">
        <v>53</v>
      </c>
      <c r="C2" s="4" t="s">
        <v>166</v>
      </c>
      <c r="D2" s="4" t="s">
        <v>167</v>
      </c>
      <c r="E2" s="10" t="s">
        <v>168</v>
      </c>
    </row>
    <row r="3" spans="1:5" ht="26.4" x14ac:dyDescent="0.3">
      <c r="A3" s="10">
        <v>2</v>
      </c>
      <c r="B3" s="4" t="s">
        <v>64</v>
      </c>
      <c r="C3" s="4" t="s">
        <v>169</v>
      </c>
      <c r="D3" s="4" t="s">
        <v>170</v>
      </c>
      <c r="E3" s="10" t="s">
        <v>168</v>
      </c>
    </row>
    <row r="4" spans="1:5" x14ac:dyDescent="0.3">
      <c r="A4" s="10">
        <v>3</v>
      </c>
      <c r="B4" s="4" t="s">
        <v>74</v>
      </c>
      <c r="C4" s="4" t="s">
        <v>171</v>
      </c>
      <c r="D4" s="4" t="s">
        <v>172</v>
      </c>
      <c r="E4" s="10" t="s">
        <v>168</v>
      </c>
    </row>
    <row r="5" spans="1:5" ht="26.4" x14ac:dyDescent="0.3">
      <c r="A5" s="10">
        <v>4</v>
      </c>
      <c r="B5" s="4" t="s">
        <v>173</v>
      </c>
      <c r="C5" s="4" t="s">
        <v>174</v>
      </c>
      <c r="D5" s="4" t="s">
        <v>175</v>
      </c>
      <c r="E5" s="10" t="s">
        <v>168</v>
      </c>
    </row>
    <row r="6" spans="1:5" x14ac:dyDescent="0.3">
      <c r="A6" s="10">
        <v>5</v>
      </c>
      <c r="B6" s="4" t="s">
        <v>96</v>
      </c>
      <c r="C6" s="4" t="s">
        <v>176</v>
      </c>
      <c r="D6" s="4" t="s">
        <v>177</v>
      </c>
      <c r="E6" s="10" t="s">
        <v>168</v>
      </c>
    </row>
    <row r="7" spans="1:5" ht="26.4" x14ac:dyDescent="0.3">
      <c r="A7" s="10">
        <v>6</v>
      </c>
      <c r="B7" s="4" t="s">
        <v>104</v>
      </c>
      <c r="C7" s="4" t="s">
        <v>178</v>
      </c>
      <c r="D7" s="4" t="s">
        <v>179</v>
      </c>
      <c r="E7" s="10" t="s">
        <v>180</v>
      </c>
    </row>
    <row r="8" spans="1:5" ht="26.4" x14ac:dyDescent="0.3">
      <c r="A8" s="10">
        <v>7</v>
      </c>
      <c r="B8" s="4" t="s">
        <v>118</v>
      </c>
      <c r="C8" s="4" t="s">
        <v>181</v>
      </c>
      <c r="D8" s="4" t="s">
        <v>182</v>
      </c>
      <c r="E8" s="10" t="s">
        <v>180</v>
      </c>
    </row>
    <row r="9" spans="1:5" ht="26.4" x14ac:dyDescent="0.3">
      <c r="A9" s="10">
        <v>8</v>
      </c>
      <c r="B9" s="4" t="s">
        <v>129</v>
      </c>
      <c r="C9" s="4" t="s">
        <v>183</v>
      </c>
      <c r="D9" s="4" t="s">
        <v>184</v>
      </c>
      <c r="E9" s="10" t="s">
        <v>180</v>
      </c>
    </row>
    <row r="10" spans="1:5" ht="26.4" x14ac:dyDescent="0.3">
      <c r="A10" s="10">
        <v>9</v>
      </c>
      <c r="B10" s="4" t="s">
        <v>143</v>
      </c>
      <c r="C10" s="4" t="s">
        <v>185</v>
      </c>
      <c r="D10" s="4" t="s">
        <v>186</v>
      </c>
      <c r="E10" s="10" t="s">
        <v>180</v>
      </c>
    </row>
    <row r="11" spans="1:5" ht="26.4" x14ac:dyDescent="0.3">
      <c r="A11" s="10">
        <v>10</v>
      </c>
      <c r="B11" s="4" t="s">
        <v>155</v>
      </c>
      <c r="C11" s="4" t="s">
        <v>187</v>
      </c>
      <c r="D11" s="4" t="s">
        <v>188</v>
      </c>
      <c r="E11" s="10" t="s">
        <v>189</v>
      </c>
    </row>
    <row r="13" spans="1:5" ht="15.6" x14ac:dyDescent="0.3">
      <c r="A13" s="16" t="s">
        <v>190</v>
      </c>
    </row>
    <row r="14" spans="1:5" x14ac:dyDescent="0.3">
      <c r="A14" s="14" t="s">
        <v>191</v>
      </c>
      <c r="B14" s="14" t="s">
        <v>192</v>
      </c>
      <c r="C14" s="14" t="s">
        <v>193</v>
      </c>
      <c r="D14" s="14" t="s">
        <v>194</v>
      </c>
      <c r="E14" s="14"/>
    </row>
    <row r="15" spans="1:5" ht="26.4" x14ac:dyDescent="0.3">
      <c r="A15" s="10">
        <v>1</v>
      </c>
      <c r="B15" s="4" t="s">
        <v>195</v>
      </c>
      <c r="C15" s="4" t="s">
        <v>196</v>
      </c>
      <c r="D15" s="4" t="s">
        <v>197</v>
      </c>
    </row>
    <row r="16" spans="1:5" x14ac:dyDescent="0.3">
      <c r="A16" s="10">
        <v>2</v>
      </c>
      <c r="B16" s="4" t="s">
        <v>198</v>
      </c>
      <c r="C16" s="4" t="s">
        <v>199</v>
      </c>
      <c r="D16" s="4" t="s">
        <v>200</v>
      </c>
    </row>
    <row r="17" spans="1:4" x14ac:dyDescent="0.3">
      <c r="A17" s="10">
        <v>3</v>
      </c>
      <c r="B17" s="4" t="s">
        <v>201</v>
      </c>
      <c r="C17" s="4" t="s">
        <v>202</v>
      </c>
      <c r="D17" s="4" t="s">
        <v>203</v>
      </c>
    </row>
    <row r="18" spans="1:4" ht="26.4" x14ac:dyDescent="0.3">
      <c r="A18" s="10">
        <v>4</v>
      </c>
      <c r="B18" s="4" t="s">
        <v>204</v>
      </c>
      <c r="C18" s="4" t="s">
        <v>205</v>
      </c>
      <c r="D18" s="4" t="s">
        <v>206</v>
      </c>
    </row>
    <row r="19" spans="1:4" ht="26.4" x14ac:dyDescent="0.3">
      <c r="A19" s="10">
        <v>5</v>
      </c>
      <c r="B19" s="4" t="s">
        <v>207</v>
      </c>
      <c r="C19" s="4" t="s">
        <v>208</v>
      </c>
      <c r="D19" s="4" t="s">
        <v>209</v>
      </c>
    </row>
    <row r="20" spans="1:4" x14ac:dyDescent="0.3">
      <c r="A20" s="10">
        <v>6</v>
      </c>
      <c r="B20" s="4" t="s">
        <v>210</v>
      </c>
      <c r="C20" s="4" t="s">
        <v>211</v>
      </c>
      <c r="D20" s="4" t="s">
        <v>212</v>
      </c>
    </row>
    <row r="21" spans="1:4" x14ac:dyDescent="0.3">
      <c r="A21" s="10">
        <v>7</v>
      </c>
      <c r="B21" s="4" t="s">
        <v>213</v>
      </c>
      <c r="C21" s="4" t="s">
        <v>214</v>
      </c>
      <c r="D21" s="4" t="s">
        <v>215</v>
      </c>
    </row>
    <row r="22" spans="1:4" x14ac:dyDescent="0.3">
      <c r="A22" s="10">
        <v>8</v>
      </c>
      <c r="B22" s="4" t="s">
        <v>216</v>
      </c>
      <c r="C22" s="4" t="s">
        <v>217</v>
      </c>
      <c r="D22" s="4" t="s">
        <v>218</v>
      </c>
    </row>
    <row r="24" spans="1:4" ht="15.6" x14ac:dyDescent="0.3">
      <c r="A24" s="16" t="s">
        <v>219</v>
      </c>
    </row>
    <row r="25" spans="1:4" x14ac:dyDescent="0.3">
      <c r="B25" s="13" t="s">
        <v>220</v>
      </c>
    </row>
    <row r="26" spans="1:4" x14ac:dyDescent="0.3">
      <c r="B26" s="13" t="s">
        <v>221</v>
      </c>
    </row>
    <row r="27" spans="1:4" x14ac:dyDescent="0.3">
      <c r="B27" s="13" t="s">
        <v>222</v>
      </c>
    </row>
    <row r="28" spans="1:4" x14ac:dyDescent="0.3">
      <c r="B28" s="13" t="s">
        <v>223</v>
      </c>
    </row>
    <row r="29" spans="1:4" x14ac:dyDescent="0.3">
      <c r="B29" s="13" t="s">
        <v>224</v>
      </c>
    </row>
    <row r="30" spans="1:4" x14ac:dyDescent="0.3">
      <c r="B30" s="13" t="s">
        <v>225</v>
      </c>
    </row>
    <row r="31" spans="1:4" x14ac:dyDescent="0.3">
      <c r="B31" s="13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9"/>
  <sheetViews>
    <sheetView tabSelected="1" zoomScaleNormal="100" workbookViewId="0">
      <pane ySplit="1" topLeftCell="A2" activePane="bottomLeft" state="frozen"/>
      <selection pane="bottomLeft" activeCell="I6" sqref="I6"/>
    </sheetView>
  </sheetViews>
  <sheetFormatPr defaultColWidth="8.6640625" defaultRowHeight="14.4" x14ac:dyDescent="0.3"/>
  <cols>
    <col min="1" max="2" width="7" customWidth="1"/>
    <col min="3" max="3" width="26" customWidth="1"/>
    <col min="4" max="4" width="34" customWidth="1"/>
    <col min="5" max="5" width="9" customWidth="1"/>
    <col min="6" max="6" width="52" customWidth="1"/>
    <col min="7" max="7" width="12" customWidth="1"/>
    <col min="8" max="8" width="16" customWidth="1"/>
    <col min="9" max="9" width="14" customWidth="1"/>
    <col min="10" max="10" width="40" customWidth="1"/>
  </cols>
  <sheetData>
    <row r="1" spans="1:10" ht="24" customHeight="1" x14ac:dyDescent="0.3">
      <c r="A1" s="3" t="s">
        <v>46</v>
      </c>
      <c r="B1" s="3" t="s">
        <v>227</v>
      </c>
      <c r="C1" s="3" t="s">
        <v>228</v>
      </c>
      <c r="D1" s="3" t="s">
        <v>2</v>
      </c>
      <c r="E1" s="3" t="s">
        <v>229</v>
      </c>
      <c r="F1" s="3" t="s">
        <v>230</v>
      </c>
      <c r="G1" s="3" t="s">
        <v>29</v>
      </c>
      <c r="H1" s="3" t="s">
        <v>50</v>
      </c>
      <c r="I1" s="3" t="s">
        <v>51</v>
      </c>
      <c r="J1" s="3" t="s">
        <v>231</v>
      </c>
    </row>
    <row r="2" spans="1:10" ht="15" customHeight="1" x14ac:dyDescent="0.3">
      <c r="A2" s="5">
        <v>1</v>
      </c>
      <c r="B2" s="5">
        <v>1</v>
      </c>
      <c r="C2" s="17" t="s">
        <v>232</v>
      </c>
      <c r="D2" s="4" t="s">
        <v>7</v>
      </c>
      <c r="E2" s="18">
        <v>412</v>
      </c>
      <c r="F2" s="4" t="s">
        <v>233</v>
      </c>
      <c r="G2" s="5" t="s">
        <v>30</v>
      </c>
      <c r="H2" s="5" t="s">
        <v>56</v>
      </c>
      <c r="I2" s="19"/>
      <c r="J2" s="4"/>
    </row>
    <row r="3" spans="1:10" ht="15" customHeight="1" x14ac:dyDescent="0.3">
      <c r="A3" s="5">
        <v>2</v>
      </c>
      <c r="B3" s="5">
        <v>1</v>
      </c>
      <c r="C3" s="17" t="s">
        <v>232</v>
      </c>
      <c r="D3" s="4" t="s">
        <v>7</v>
      </c>
      <c r="E3" s="18">
        <v>1822</v>
      </c>
      <c r="F3" s="4" t="s">
        <v>234</v>
      </c>
      <c r="G3" s="5" t="s">
        <v>30</v>
      </c>
      <c r="H3" s="5" t="s">
        <v>56</v>
      </c>
      <c r="I3" s="19"/>
      <c r="J3" s="4"/>
    </row>
    <row r="4" spans="1:10" ht="15" customHeight="1" x14ac:dyDescent="0.3">
      <c r="A4" s="5">
        <v>3</v>
      </c>
      <c r="B4" s="5">
        <v>1</v>
      </c>
      <c r="C4" s="17" t="s">
        <v>232</v>
      </c>
      <c r="D4" s="4" t="s">
        <v>7</v>
      </c>
      <c r="E4" s="18">
        <v>1491</v>
      </c>
      <c r="F4" s="4" t="s">
        <v>235</v>
      </c>
      <c r="G4" s="5" t="s">
        <v>30</v>
      </c>
      <c r="H4" s="5" t="s">
        <v>56</v>
      </c>
      <c r="I4" s="19"/>
      <c r="J4" s="4"/>
    </row>
    <row r="5" spans="1:10" ht="15" customHeight="1" x14ac:dyDescent="0.3">
      <c r="A5" s="5">
        <v>4</v>
      </c>
      <c r="B5" s="5">
        <v>1</v>
      </c>
      <c r="C5" s="17" t="s">
        <v>232</v>
      </c>
      <c r="D5" s="4" t="s">
        <v>7</v>
      </c>
      <c r="E5" s="18">
        <v>1523</v>
      </c>
      <c r="F5" s="4" t="s">
        <v>236</v>
      </c>
      <c r="G5" s="5" t="s">
        <v>30</v>
      </c>
      <c r="H5" s="5" t="s">
        <v>4</v>
      </c>
      <c r="I5" s="19">
        <v>46322</v>
      </c>
      <c r="J5" s="4"/>
    </row>
    <row r="6" spans="1:10" ht="15" customHeight="1" x14ac:dyDescent="0.3">
      <c r="A6" s="5">
        <v>5</v>
      </c>
      <c r="B6" s="5">
        <v>1</v>
      </c>
      <c r="C6" s="17" t="s">
        <v>232</v>
      </c>
      <c r="D6" s="4" t="s">
        <v>7</v>
      </c>
      <c r="E6" s="18">
        <v>976</v>
      </c>
      <c r="F6" s="4" t="s">
        <v>237</v>
      </c>
      <c r="G6" s="5" t="s">
        <v>30</v>
      </c>
      <c r="H6" s="5" t="s">
        <v>56</v>
      </c>
      <c r="I6" s="19"/>
      <c r="J6" s="4"/>
    </row>
    <row r="7" spans="1:10" ht="15" customHeight="1" x14ac:dyDescent="0.3">
      <c r="A7" s="5">
        <v>6</v>
      </c>
      <c r="B7" s="5">
        <v>1</v>
      </c>
      <c r="C7" s="17" t="s">
        <v>232</v>
      </c>
      <c r="D7" s="4" t="s">
        <v>7</v>
      </c>
      <c r="E7" s="18">
        <v>836</v>
      </c>
      <c r="F7" s="4" t="s">
        <v>238</v>
      </c>
      <c r="G7" s="5" t="s">
        <v>30</v>
      </c>
      <c r="H7" s="5" t="s">
        <v>56</v>
      </c>
      <c r="I7" s="19"/>
      <c r="J7" s="4"/>
    </row>
    <row r="8" spans="1:10" ht="15" customHeight="1" x14ac:dyDescent="0.3">
      <c r="A8" s="5">
        <v>7</v>
      </c>
      <c r="B8" s="5">
        <v>1</v>
      </c>
      <c r="C8" s="17" t="s">
        <v>232</v>
      </c>
      <c r="D8" s="4" t="s">
        <v>7</v>
      </c>
      <c r="E8" s="18">
        <v>1185</v>
      </c>
      <c r="F8" s="4" t="s">
        <v>239</v>
      </c>
      <c r="G8" s="5" t="s">
        <v>30</v>
      </c>
      <c r="H8" s="5" t="s">
        <v>56</v>
      </c>
      <c r="I8" s="19"/>
      <c r="J8" s="4"/>
    </row>
    <row r="9" spans="1:10" ht="15" customHeight="1" x14ac:dyDescent="0.3">
      <c r="A9" s="5">
        <v>8</v>
      </c>
      <c r="B9" s="5">
        <v>1</v>
      </c>
      <c r="C9" s="17" t="s">
        <v>232</v>
      </c>
      <c r="D9" s="4" t="s">
        <v>7</v>
      </c>
      <c r="E9" s="18">
        <v>1360</v>
      </c>
      <c r="F9" s="4" t="s">
        <v>240</v>
      </c>
      <c r="G9" s="5" t="s">
        <v>30</v>
      </c>
      <c r="H9" s="5" t="s">
        <v>56</v>
      </c>
      <c r="I9" s="19"/>
      <c r="J9" s="4"/>
    </row>
    <row r="10" spans="1:10" ht="15" customHeight="1" x14ac:dyDescent="0.3">
      <c r="A10" s="5">
        <v>9</v>
      </c>
      <c r="B10" s="5">
        <v>1</v>
      </c>
      <c r="C10" s="17" t="s">
        <v>232</v>
      </c>
      <c r="D10" s="4" t="s">
        <v>8</v>
      </c>
      <c r="E10" s="18">
        <v>1672</v>
      </c>
      <c r="F10" s="4" t="s">
        <v>241</v>
      </c>
      <c r="G10" s="5" t="s">
        <v>30</v>
      </c>
      <c r="H10" s="5" t="s">
        <v>56</v>
      </c>
      <c r="I10" s="19"/>
      <c r="J10" s="4"/>
    </row>
    <row r="11" spans="1:10" ht="15" customHeight="1" x14ac:dyDescent="0.3">
      <c r="A11" s="5">
        <v>10</v>
      </c>
      <c r="B11" s="5">
        <v>1</v>
      </c>
      <c r="C11" s="17" t="s">
        <v>232</v>
      </c>
      <c r="D11" s="4" t="s">
        <v>8</v>
      </c>
      <c r="E11" s="18">
        <v>1342</v>
      </c>
      <c r="F11" s="4" t="s">
        <v>242</v>
      </c>
      <c r="G11" s="5" t="s">
        <v>30</v>
      </c>
      <c r="H11" s="5" t="s">
        <v>56</v>
      </c>
      <c r="I11" s="19"/>
      <c r="J11" s="4"/>
    </row>
    <row r="12" spans="1:10" ht="15" customHeight="1" x14ac:dyDescent="0.3">
      <c r="A12" s="5">
        <v>11</v>
      </c>
      <c r="B12" s="5">
        <v>1</v>
      </c>
      <c r="C12" s="17" t="s">
        <v>232</v>
      </c>
      <c r="D12" s="4" t="s">
        <v>8</v>
      </c>
      <c r="E12" s="18">
        <v>1281</v>
      </c>
      <c r="F12" s="4" t="s">
        <v>243</v>
      </c>
      <c r="G12" s="5" t="s">
        <v>30</v>
      </c>
      <c r="H12" s="5" t="s">
        <v>56</v>
      </c>
      <c r="I12" s="19"/>
      <c r="J12" s="4"/>
    </row>
    <row r="13" spans="1:10" ht="15" customHeight="1" x14ac:dyDescent="0.3">
      <c r="A13" s="5">
        <v>12</v>
      </c>
      <c r="B13" s="5">
        <v>1</v>
      </c>
      <c r="C13" s="17" t="s">
        <v>232</v>
      </c>
      <c r="D13" s="4" t="s">
        <v>8</v>
      </c>
      <c r="E13" s="18">
        <v>258</v>
      </c>
      <c r="F13" s="4" t="s">
        <v>244</v>
      </c>
      <c r="G13" s="5" t="s">
        <v>30</v>
      </c>
      <c r="H13" s="5" t="s">
        <v>56</v>
      </c>
      <c r="I13" s="19"/>
      <c r="J13" s="4"/>
    </row>
    <row r="14" spans="1:10" ht="15" customHeight="1" x14ac:dyDescent="0.3">
      <c r="A14" s="5">
        <v>13</v>
      </c>
      <c r="B14" s="5">
        <v>1</v>
      </c>
      <c r="C14" s="17" t="s">
        <v>232</v>
      </c>
      <c r="D14" s="4" t="s">
        <v>8</v>
      </c>
      <c r="E14" s="18">
        <v>1688</v>
      </c>
      <c r="F14" s="4" t="s">
        <v>245</v>
      </c>
      <c r="G14" s="5" t="s">
        <v>30</v>
      </c>
      <c r="H14" s="5" t="s">
        <v>56</v>
      </c>
      <c r="I14" s="19"/>
      <c r="J14" s="4"/>
    </row>
    <row r="15" spans="1:10" ht="15" customHeight="1" x14ac:dyDescent="0.3">
      <c r="A15" s="5">
        <v>14</v>
      </c>
      <c r="B15" s="5">
        <v>1</v>
      </c>
      <c r="C15" s="17" t="s">
        <v>232</v>
      </c>
      <c r="D15" s="4" t="s">
        <v>8</v>
      </c>
      <c r="E15" s="18">
        <v>1518</v>
      </c>
      <c r="F15" s="4" t="s">
        <v>246</v>
      </c>
      <c r="G15" s="5" t="s">
        <v>30</v>
      </c>
      <c r="H15" s="5" t="s">
        <v>56</v>
      </c>
      <c r="I15" s="19"/>
      <c r="J15" s="4"/>
    </row>
    <row r="16" spans="1:10" ht="15" customHeight="1" x14ac:dyDescent="0.3">
      <c r="A16" s="5">
        <v>15</v>
      </c>
      <c r="B16" s="5">
        <v>1</v>
      </c>
      <c r="C16" s="17" t="s">
        <v>232</v>
      </c>
      <c r="D16" s="4" t="s">
        <v>8</v>
      </c>
      <c r="E16" s="18">
        <v>509</v>
      </c>
      <c r="F16" s="4" t="s">
        <v>247</v>
      </c>
      <c r="G16" s="5" t="s">
        <v>30</v>
      </c>
      <c r="H16" s="5" t="s">
        <v>56</v>
      </c>
      <c r="I16" s="19"/>
      <c r="J16" s="4"/>
    </row>
    <row r="17" spans="1:10" ht="15" customHeight="1" x14ac:dyDescent="0.3">
      <c r="A17" s="5">
        <v>16</v>
      </c>
      <c r="B17" s="5">
        <v>1</v>
      </c>
      <c r="C17" s="17" t="s">
        <v>232</v>
      </c>
      <c r="D17" s="4" t="s">
        <v>8</v>
      </c>
      <c r="E17" s="18">
        <v>9</v>
      </c>
      <c r="F17" s="4" t="s">
        <v>248</v>
      </c>
      <c r="G17" s="5" t="s">
        <v>30</v>
      </c>
      <c r="H17" s="5" t="s">
        <v>56</v>
      </c>
      <c r="I17" s="19"/>
      <c r="J17" s="4"/>
    </row>
    <row r="18" spans="1:10" ht="15" customHeight="1" x14ac:dyDescent="0.3">
      <c r="A18" s="5">
        <v>17</v>
      </c>
      <c r="B18" s="5">
        <v>1</v>
      </c>
      <c r="C18" s="17" t="s">
        <v>232</v>
      </c>
      <c r="D18" s="4" t="s">
        <v>8</v>
      </c>
      <c r="E18" s="18">
        <v>7</v>
      </c>
      <c r="F18" s="4" t="s">
        <v>249</v>
      </c>
      <c r="G18" s="5" t="s">
        <v>31</v>
      </c>
      <c r="H18" s="5" t="s">
        <v>56</v>
      </c>
      <c r="I18" s="19"/>
      <c r="J18" s="4"/>
    </row>
    <row r="19" spans="1:10" ht="15" customHeight="1" x14ac:dyDescent="0.3">
      <c r="A19" s="5">
        <v>18</v>
      </c>
      <c r="B19" s="5">
        <v>1</v>
      </c>
      <c r="C19" s="17" t="s">
        <v>232</v>
      </c>
      <c r="D19" s="4" t="s">
        <v>8</v>
      </c>
      <c r="E19" s="18">
        <v>202</v>
      </c>
      <c r="F19" s="4" t="s">
        <v>250</v>
      </c>
      <c r="G19" s="5" t="s">
        <v>30</v>
      </c>
      <c r="H19" s="5" t="s">
        <v>56</v>
      </c>
      <c r="I19" s="19"/>
      <c r="J19" s="4"/>
    </row>
    <row r="20" spans="1:10" ht="15" customHeight="1" x14ac:dyDescent="0.3">
      <c r="A20" s="5">
        <v>19</v>
      </c>
      <c r="B20" s="5">
        <v>1</v>
      </c>
      <c r="C20" s="17" t="s">
        <v>232</v>
      </c>
      <c r="D20" s="4" t="s">
        <v>8</v>
      </c>
      <c r="E20" s="18">
        <v>204</v>
      </c>
      <c r="F20" s="4" t="s">
        <v>251</v>
      </c>
      <c r="G20" s="5" t="s">
        <v>31</v>
      </c>
      <c r="H20" s="5" t="s">
        <v>56</v>
      </c>
      <c r="I20" s="19"/>
      <c r="J20" s="4"/>
    </row>
    <row r="21" spans="1:10" ht="15" customHeight="1" x14ac:dyDescent="0.3">
      <c r="A21" s="5">
        <v>20</v>
      </c>
      <c r="B21" s="5">
        <v>1</v>
      </c>
      <c r="C21" s="17" t="s">
        <v>232</v>
      </c>
      <c r="D21" s="4" t="s">
        <v>8</v>
      </c>
      <c r="E21" s="18">
        <v>13</v>
      </c>
      <c r="F21" s="4" t="s">
        <v>252</v>
      </c>
      <c r="G21" s="5" t="s">
        <v>30</v>
      </c>
      <c r="H21" s="5" t="s">
        <v>56</v>
      </c>
      <c r="I21" s="19"/>
      <c r="J21" s="4"/>
    </row>
    <row r="22" spans="1:10" ht="15" customHeight="1" x14ac:dyDescent="0.3">
      <c r="A22" s="5">
        <v>21</v>
      </c>
      <c r="B22" s="5">
        <v>1</v>
      </c>
      <c r="C22" s="17" t="s">
        <v>232</v>
      </c>
      <c r="D22" s="4" t="s">
        <v>8</v>
      </c>
      <c r="E22" s="18">
        <v>66</v>
      </c>
      <c r="F22" s="4" t="s">
        <v>253</v>
      </c>
      <c r="G22" s="5" t="s">
        <v>30</v>
      </c>
      <c r="H22" s="5" t="s">
        <v>56</v>
      </c>
      <c r="I22" s="19"/>
      <c r="J22" s="4"/>
    </row>
    <row r="23" spans="1:10" ht="15" customHeight="1" x14ac:dyDescent="0.3">
      <c r="A23" s="5">
        <v>22</v>
      </c>
      <c r="B23" s="5">
        <v>1</v>
      </c>
      <c r="C23" s="17" t="s">
        <v>232</v>
      </c>
      <c r="D23" s="4" t="s">
        <v>8</v>
      </c>
      <c r="E23" s="18">
        <v>67</v>
      </c>
      <c r="F23" s="4" t="s">
        <v>254</v>
      </c>
      <c r="G23" s="5" t="s">
        <v>30</v>
      </c>
      <c r="H23" s="5" t="s">
        <v>56</v>
      </c>
      <c r="I23" s="19"/>
      <c r="J23" s="4"/>
    </row>
    <row r="24" spans="1:10" ht="15" customHeight="1" x14ac:dyDescent="0.3">
      <c r="A24" s="5">
        <v>23</v>
      </c>
      <c r="B24" s="5">
        <v>1</v>
      </c>
      <c r="C24" s="17" t="s">
        <v>232</v>
      </c>
      <c r="D24" s="4" t="s">
        <v>8</v>
      </c>
      <c r="E24" s="18">
        <v>69</v>
      </c>
      <c r="F24" s="4" t="s">
        <v>255</v>
      </c>
      <c r="G24" s="5" t="s">
        <v>30</v>
      </c>
      <c r="H24" s="5" t="s">
        <v>56</v>
      </c>
      <c r="I24" s="19"/>
      <c r="J24" s="4"/>
    </row>
    <row r="25" spans="1:10" ht="15" customHeight="1" x14ac:dyDescent="0.3">
      <c r="A25" s="5">
        <v>24</v>
      </c>
      <c r="B25" s="5">
        <v>1</v>
      </c>
      <c r="C25" s="17" t="s">
        <v>232</v>
      </c>
      <c r="D25" s="4" t="s">
        <v>8</v>
      </c>
      <c r="E25" s="18">
        <v>50</v>
      </c>
      <c r="F25" s="4" t="s">
        <v>256</v>
      </c>
      <c r="G25" s="5" t="s">
        <v>31</v>
      </c>
      <c r="H25" s="5" t="s">
        <v>56</v>
      </c>
      <c r="I25" s="19"/>
      <c r="J25" s="4"/>
    </row>
    <row r="26" spans="1:10" ht="15" customHeight="1" x14ac:dyDescent="0.3">
      <c r="A26" s="5">
        <v>25</v>
      </c>
      <c r="B26" s="5">
        <v>1</v>
      </c>
      <c r="C26" s="17" t="s">
        <v>232</v>
      </c>
      <c r="D26" s="4" t="s">
        <v>8</v>
      </c>
      <c r="E26" s="18">
        <v>43</v>
      </c>
      <c r="F26" s="4" t="s">
        <v>257</v>
      </c>
      <c r="G26" s="5" t="s">
        <v>31</v>
      </c>
      <c r="H26" s="5" t="s">
        <v>56</v>
      </c>
      <c r="I26" s="19"/>
      <c r="J26" s="4"/>
    </row>
    <row r="27" spans="1:10" ht="15" customHeight="1" x14ac:dyDescent="0.3">
      <c r="A27" s="5">
        <v>26</v>
      </c>
      <c r="B27" s="5">
        <v>2</v>
      </c>
      <c r="C27" s="17" t="s">
        <v>232</v>
      </c>
      <c r="D27" s="4" t="s">
        <v>9</v>
      </c>
      <c r="E27" s="18">
        <v>1</v>
      </c>
      <c r="F27" s="4" t="s">
        <v>258</v>
      </c>
      <c r="G27" s="5" t="s">
        <v>30</v>
      </c>
      <c r="H27" s="5" t="s">
        <v>56</v>
      </c>
      <c r="I27" s="19"/>
      <c r="J27" s="4"/>
    </row>
    <row r="28" spans="1:10" ht="15" customHeight="1" x14ac:dyDescent="0.3">
      <c r="A28" s="5">
        <v>27</v>
      </c>
      <c r="B28" s="5">
        <v>2</v>
      </c>
      <c r="C28" s="17" t="s">
        <v>232</v>
      </c>
      <c r="D28" s="4" t="s">
        <v>9</v>
      </c>
      <c r="E28" s="18">
        <v>26</v>
      </c>
      <c r="F28" s="4" t="s">
        <v>259</v>
      </c>
      <c r="G28" s="5" t="s">
        <v>30</v>
      </c>
      <c r="H28" s="5" t="s">
        <v>56</v>
      </c>
      <c r="I28" s="19"/>
      <c r="J28" s="4"/>
    </row>
    <row r="29" spans="1:10" ht="15" customHeight="1" x14ac:dyDescent="0.3">
      <c r="A29" s="5">
        <v>28</v>
      </c>
      <c r="B29" s="5">
        <v>2</v>
      </c>
      <c r="C29" s="17" t="s">
        <v>232</v>
      </c>
      <c r="D29" s="4" t="s">
        <v>9</v>
      </c>
      <c r="E29" s="18">
        <v>27</v>
      </c>
      <c r="F29" s="4" t="s">
        <v>260</v>
      </c>
      <c r="G29" s="5" t="s">
        <v>30</v>
      </c>
      <c r="H29" s="5" t="s">
        <v>56</v>
      </c>
      <c r="I29" s="19"/>
      <c r="J29" s="4"/>
    </row>
    <row r="30" spans="1:10" ht="15" customHeight="1" x14ac:dyDescent="0.3">
      <c r="A30" s="5">
        <v>29</v>
      </c>
      <c r="B30" s="5">
        <v>2</v>
      </c>
      <c r="C30" s="17" t="s">
        <v>232</v>
      </c>
      <c r="D30" s="4" t="s">
        <v>9</v>
      </c>
      <c r="E30" s="18">
        <v>88</v>
      </c>
      <c r="F30" s="4" t="s">
        <v>261</v>
      </c>
      <c r="G30" s="5" t="s">
        <v>30</v>
      </c>
      <c r="H30" s="5" t="s">
        <v>56</v>
      </c>
      <c r="I30" s="19"/>
      <c r="J30" s="4"/>
    </row>
    <row r="31" spans="1:10" ht="15" customHeight="1" x14ac:dyDescent="0.3">
      <c r="A31" s="5">
        <v>30</v>
      </c>
      <c r="B31" s="5">
        <v>2</v>
      </c>
      <c r="C31" s="17" t="s">
        <v>232</v>
      </c>
      <c r="D31" s="4" t="s">
        <v>9</v>
      </c>
      <c r="E31" s="18">
        <v>283</v>
      </c>
      <c r="F31" s="4" t="s">
        <v>262</v>
      </c>
      <c r="G31" s="5" t="s">
        <v>30</v>
      </c>
      <c r="H31" s="5" t="s">
        <v>56</v>
      </c>
      <c r="I31" s="19"/>
      <c r="J31" s="4"/>
    </row>
    <row r="32" spans="1:10" ht="15" customHeight="1" x14ac:dyDescent="0.3">
      <c r="A32" s="5">
        <v>31</v>
      </c>
      <c r="B32" s="5">
        <v>2</v>
      </c>
      <c r="C32" s="17" t="s">
        <v>232</v>
      </c>
      <c r="D32" s="4" t="s">
        <v>9</v>
      </c>
      <c r="E32" s="18">
        <v>217</v>
      </c>
      <c r="F32" s="4" t="s">
        <v>263</v>
      </c>
      <c r="G32" s="5" t="s">
        <v>30</v>
      </c>
      <c r="H32" s="5" t="s">
        <v>56</v>
      </c>
      <c r="I32" s="19"/>
      <c r="J32" s="4"/>
    </row>
    <row r="33" spans="1:10" ht="15" customHeight="1" x14ac:dyDescent="0.3">
      <c r="A33" s="5">
        <v>32</v>
      </c>
      <c r="B33" s="5">
        <v>2</v>
      </c>
      <c r="C33" s="17" t="s">
        <v>232</v>
      </c>
      <c r="D33" s="4" t="s">
        <v>9</v>
      </c>
      <c r="E33" s="18">
        <v>136</v>
      </c>
      <c r="F33" s="4" t="s">
        <v>264</v>
      </c>
      <c r="G33" s="5" t="s">
        <v>30</v>
      </c>
      <c r="H33" s="5" t="s">
        <v>56</v>
      </c>
      <c r="I33" s="19"/>
      <c r="J33" s="4"/>
    </row>
    <row r="34" spans="1:10" ht="15" customHeight="1" x14ac:dyDescent="0.3">
      <c r="A34" s="5">
        <v>33</v>
      </c>
      <c r="B34" s="5">
        <v>2</v>
      </c>
      <c r="C34" s="17" t="s">
        <v>232</v>
      </c>
      <c r="D34" s="4" t="s">
        <v>9</v>
      </c>
      <c r="E34" s="18">
        <v>169</v>
      </c>
      <c r="F34" s="4" t="s">
        <v>265</v>
      </c>
      <c r="G34" s="5" t="s">
        <v>30</v>
      </c>
      <c r="H34" s="5" t="s">
        <v>56</v>
      </c>
      <c r="I34" s="19"/>
      <c r="J34" s="4"/>
    </row>
    <row r="35" spans="1:10" ht="15" customHeight="1" x14ac:dyDescent="0.3">
      <c r="A35" s="5">
        <v>34</v>
      </c>
      <c r="B35" s="5">
        <v>2</v>
      </c>
      <c r="C35" s="17" t="s">
        <v>232</v>
      </c>
      <c r="D35" s="4" t="s">
        <v>9</v>
      </c>
      <c r="E35" s="18">
        <v>121</v>
      </c>
      <c r="F35" s="4" t="s">
        <v>266</v>
      </c>
      <c r="G35" s="5" t="s">
        <v>30</v>
      </c>
      <c r="H35" s="5" t="s">
        <v>56</v>
      </c>
      <c r="I35" s="19"/>
      <c r="J35" s="4"/>
    </row>
    <row r="36" spans="1:10" ht="15" customHeight="1" x14ac:dyDescent="0.3">
      <c r="A36" s="5">
        <v>35</v>
      </c>
      <c r="B36" s="5">
        <v>2</v>
      </c>
      <c r="C36" s="17" t="s">
        <v>232</v>
      </c>
      <c r="D36" s="4" t="s">
        <v>9</v>
      </c>
      <c r="E36" s="18">
        <v>189</v>
      </c>
      <c r="F36" s="4" t="s">
        <v>267</v>
      </c>
      <c r="G36" s="5" t="s">
        <v>31</v>
      </c>
      <c r="H36" s="5" t="s">
        <v>56</v>
      </c>
      <c r="I36" s="19"/>
      <c r="J36" s="4"/>
    </row>
    <row r="37" spans="1:10" ht="15" customHeight="1" x14ac:dyDescent="0.3">
      <c r="A37" s="5">
        <v>36</v>
      </c>
      <c r="B37" s="5">
        <v>2</v>
      </c>
      <c r="C37" s="17" t="s">
        <v>232</v>
      </c>
      <c r="D37" s="4" t="s">
        <v>9</v>
      </c>
      <c r="E37" s="18">
        <v>53</v>
      </c>
      <c r="F37" s="4" t="s">
        <v>268</v>
      </c>
      <c r="G37" s="5" t="s">
        <v>31</v>
      </c>
      <c r="H37" s="5" t="s">
        <v>56</v>
      </c>
      <c r="I37" s="19"/>
      <c r="J37" s="4"/>
    </row>
    <row r="38" spans="1:10" ht="15" customHeight="1" x14ac:dyDescent="0.3">
      <c r="A38" s="5">
        <v>37</v>
      </c>
      <c r="B38" s="5">
        <v>2</v>
      </c>
      <c r="C38" s="17" t="s">
        <v>232</v>
      </c>
      <c r="D38" s="4" t="s">
        <v>9</v>
      </c>
      <c r="E38" s="18">
        <v>238</v>
      </c>
      <c r="F38" s="4" t="s">
        <v>269</v>
      </c>
      <c r="G38" s="5" t="s">
        <v>31</v>
      </c>
      <c r="H38" s="5" t="s">
        <v>56</v>
      </c>
      <c r="I38" s="19"/>
      <c r="J38" s="4"/>
    </row>
    <row r="39" spans="1:10" ht="15" customHeight="1" x14ac:dyDescent="0.3">
      <c r="A39" s="5">
        <v>38</v>
      </c>
      <c r="B39" s="5">
        <v>2</v>
      </c>
      <c r="C39" s="17" t="s">
        <v>232</v>
      </c>
      <c r="D39" s="4" t="s">
        <v>9</v>
      </c>
      <c r="E39" s="18">
        <v>75</v>
      </c>
      <c r="F39" s="4" t="s">
        <v>270</v>
      </c>
      <c r="G39" s="5" t="s">
        <v>31</v>
      </c>
      <c r="H39" s="5" t="s">
        <v>56</v>
      </c>
      <c r="I39" s="19"/>
      <c r="J39" s="4"/>
    </row>
    <row r="40" spans="1:10" ht="15" customHeight="1" x14ac:dyDescent="0.3">
      <c r="A40" s="5">
        <v>39</v>
      </c>
      <c r="B40" s="5">
        <v>2</v>
      </c>
      <c r="C40" s="17" t="s">
        <v>232</v>
      </c>
      <c r="D40" s="4" t="s">
        <v>9</v>
      </c>
      <c r="E40" s="18">
        <v>31</v>
      </c>
      <c r="F40" s="4" t="s">
        <v>271</v>
      </c>
      <c r="G40" s="5" t="s">
        <v>31</v>
      </c>
      <c r="H40" s="5" t="s">
        <v>56</v>
      </c>
      <c r="I40" s="19"/>
      <c r="J40" s="4"/>
    </row>
    <row r="41" spans="1:10" ht="15" customHeight="1" x14ac:dyDescent="0.3">
      <c r="A41" s="5">
        <v>40</v>
      </c>
      <c r="B41" s="5">
        <v>2</v>
      </c>
      <c r="C41" s="17" t="s">
        <v>232</v>
      </c>
      <c r="D41" s="4" t="s">
        <v>9</v>
      </c>
      <c r="E41" s="18">
        <v>11</v>
      </c>
      <c r="F41" s="4" t="s">
        <v>272</v>
      </c>
      <c r="G41" s="5" t="s">
        <v>31</v>
      </c>
      <c r="H41" s="5" t="s">
        <v>56</v>
      </c>
      <c r="I41" s="19"/>
      <c r="J41" s="4"/>
    </row>
    <row r="42" spans="1:10" ht="15" customHeight="1" x14ac:dyDescent="0.3">
      <c r="A42" s="5">
        <v>41</v>
      </c>
      <c r="B42" s="5">
        <v>2</v>
      </c>
      <c r="C42" s="17" t="s">
        <v>232</v>
      </c>
      <c r="D42" s="4" t="s">
        <v>9</v>
      </c>
      <c r="E42" s="18">
        <v>15</v>
      </c>
      <c r="F42" s="4" t="s">
        <v>273</v>
      </c>
      <c r="G42" s="5" t="s">
        <v>31</v>
      </c>
      <c r="H42" s="5" t="s">
        <v>56</v>
      </c>
      <c r="I42" s="19"/>
      <c r="J42" s="4"/>
    </row>
    <row r="43" spans="1:10" ht="15" customHeight="1" x14ac:dyDescent="0.3">
      <c r="A43" s="5">
        <v>42</v>
      </c>
      <c r="B43" s="5">
        <v>2</v>
      </c>
      <c r="C43" s="17" t="s">
        <v>232</v>
      </c>
      <c r="D43" s="4" t="s">
        <v>9</v>
      </c>
      <c r="E43" s="18">
        <v>56</v>
      </c>
      <c r="F43" s="4" t="s">
        <v>274</v>
      </c>
      <c r="G43" s="5" t="s">
        <v>31</v>
      </c>
      <c r="H43" s="5" t="s">
        <v>56</v>
      </c>
      <c r="I43" s="19"/>
      <c r="J43" s="4"/>
    </row>
    <row r="44" spans="1:10" ht="15" customHeight="1" x14ac:dyDescent="0.3">
      <c r="A44" s="5">
        <v>43</v>
      </c>
      <c r="B44" s="5">
        <v>2</v>
      </c>
      <c r="C44" s="17" t="s">
        <v>232</v>
      </c>
      <c r="D44" s="4" t="s">
        <v>9</v>
      </c>
      <c r="E44" s="18">
        <v>128</v>
      </c>
      <c r="F44" s="4" t="s">
        <v>275</v>
      </c>
      <c r="G44" s="5" t="s">
        <v>31</v>
      </c>
      <c r="H44" s="5" t="s">
        <v>56</v>
      </c>
      <c r="I44" s="19"/>
      <c r="J44" s="4"/>
    </row>
    <row r="45" spans="1:10" ht="15" customHeight="1" x14ac:dyDescent="0.3">
      <c r="A45" s="5">
        <v>44</v>
      </c>
      <c r="B45" s="5">
        <v>2</v>
      </c>
      <c r="C45" s="17" t="s">
        <v>232</v>
      </c>
      <c r="D45" s="4" t="s">
        <v>9</v>
      </c>
      <c r="E45" s="18">
        <v>41</v>
      </c>
      <c r="F45" s="4" t="s">
        <v>276</v>
      </c>
      <c r="G45" s="5" t="s">
        <v>32</v>
      </c>
      <c r="H45" s="5" t="s">
        <v>56</v>
      </c>
      <c r="I45" s="19"/>
      <c r="J45" s="4"/>
    </row>
    <row r="46" spans="1:10" ht="15" customHeight="1" x14ac:dyDescent="0.3">
      <c r="A46" s="5">
        <v>45</v>
      </c>
      <c r="B46" s="5">
        <v>2</v>
      </c>
      <c r="C46" s="17" t="s">
        <v>232</v>
      </c>
      <c r="D46" s="4" t="s">
        <v>9</v>
      </c>
      <c r="E46" s="18">
        <v>42</v>
      </c>
      <c r="F46" s="4" t="s">
        <v>277</v>
      </c>
      <c r="G46" s="5" t="s">
        <v>32</v>
      </c>
      <c r="H46" s="5" t="s">
        <v>56</v>
      </c>
      <c r="I46" s="19"/>
      <c r="J46" s="4"/>
    </row>
    <row r="47" spans="1:10" ht="15" customHeight="1" x14ac:dyDescent="0.3">
      <c r="A47" s="5">
        <v>46</v>
      </c>
      <c r="B47" s="5">
        <v>3</v>
      </c>
      <c r="C47" s="17" t="s">
        <v>232</v>
      </c>
      <c r="D47" s="4" t="s">
        <v>10</v>
      </c>
      <c r="E47" s="18">
        <v>344</v>
      </c>
      <c r="F47" s="4" t="s">
        <v>278</v>
      </c>
      <c r="G47" s="5" t="s">
        <v>30</v>
      </c>
      <c r="H47" s="5" t="s">
        <v>56</v>
      </c>
      <c r="I47" s="19"/>
      <c r="J47" s="4"/>
    </row>
    <row r="48" spans="1:10" ht="15" customHeight="1" x14ac:dyDescent="0.3">
      <c r="A48" s="5">
        <v>47</v>
      </c>
      <c r="B48" s="5">
        <v>3</v>
      </c>
      <c r="C48" s="17" t="s">
        <v>232</v>
      </c>
      <c r="D48" s="4" t="s">
        <v>10</v>
      </c>
      <c r="E48" s="18">
        <v>125</v>
      </c>
      <c r="F48" s="4" t="s">
        <v>279</v>
      </c>
      <c r="G48" s="5" t="s">
        <v>30</v>
      </c>
      <c r="H48" s="5" t="s">
        <v>56</v>
      </c>
      <c r="I48" s="19"/>
      <c r="J48" s="4"/>
    </row>
    <row r="49" spans="1:10" ht="15" customHeight="1" x14ac:dyDescent="0.3">
      <c r="A49" s="5">
        <v>48</v>
      </c>
      <c r="B49" s="5">
        <v>3</v>
      </c>
      <c r="C49" s="17" t="s">
        <v>232</v>
      </c>
      <c r="D49" s="4" t="s">
        <v>10</v>
      </c>
      <c r="E49" s="18">
        <v>242</v>
      </c>
      <c r="F49" s="4" t="s">
        <v>280</v>
      </c>
      <c r="G49" s="5" t="s">
        <v>30</v>
      </c>
      <c r="H49" s="5" t="s">
        <v>56</v>
      </c>
      <c r="I49" s="19"/>
      <c r="J49" s="4"/>
    </row>
    <row r="50" spans="1:10" ht="15" customHeight="1" x14ac:dyDescent="0.3">
      <c r="A50" s="5">
        <v>49</v>
      </c>
      <c r="B50" s="5">
        <v>3</v>
      </c>
      <c r="C50" s="17" t="s">
        <v>232</v>
      </c>
      <c r="D50" s="4" t="s">
        <v>10</v>
      </c>
      <c r="E50" s="18">
        <v>387</v>
      </c>
      <c r="F50" s="4" t="s">
        <v>281</v>
      </c>
      <c r="G50" s="5" t="s">
        <v>30</v>
      </c>
      <c r="H50" s="5" t="s">
        <v>56</v>
      </c>
      <c r="I50" s="19"/>
      <c r="J50" s="4"/>
    </row>
    <row r="51" spans="1:10" ht="15" customHeight="1" x14ac:dyDescent="0.3">
      <c r="A51" s="5">
        <v>50</v>
      </c>
      <c r="B51" s="5">
        <v>3</v>
      </c>
      <c r="C51" s="17" t="s">
        <v>232</v>
      </c>
      <c r="D51" s="4" t="s">
        <v>10</v>
      </c>
      <c r="E51" s="18">
        <v>14</v>
      </c>
      <c r="F51" s="4" t="s">
        <v>282</v>
      </c>
      <c r="G51" s="5" t="s">
        <v>30</v>
      </c>
      <c r="H51" s="5" t="s">
        <v>56</v>
      </c>
      <c r="I51" s="19"/>
      <c r="J51" s="4"/>
    </row>
    <row r="52" spans="1:10" ht="15" customHeight="1" x14ac:dyDescent="0.3">
      <c r="A52" s="5">
        <v>51</v>
      </c>
      <c r="B52" s="5">
        <v>3</v>
      </c>
      <c r="C52" s="17" t="s">
        <v>232</v>
      </c>
      <c r="D52" s="4" t="s">
        <v>10</v>
      </c>
      <c r="E52" s="18">
        <v>28</v>
      </c>
      <c r="F52" s="4" t="s">
        <v>283</v>
      </c>
      <c r="G52" s="5" t="s">
        <v>30</v>
      </c>
      <c r="H52" s="5" t="s">
        <v>56</v>
      </c>
      <c r="I52" s="19"/>
      <c r="J52" s="4"/>
    </row>
    <row r="53" spans="1:10" ht="15" customHeight="1" x14ac:dyDescent="0.3">
      <c r="A53" s="5">
        <v>52</v>
      </c>
      <c r="B53" s="5">
        <v>3</v>
      </c>
      <c r="C53" s="17" t="s">
        <v>232</v>
      </c>
      <c r="D53" s="4" t="s">
        <v>10</v>
      </c>
      <c r="E53" s="18">
        <v>49</v>
      </c>
      <c r="F53" s="4" t="s">
        <v>284</v>
      </c>
      <c r="G53" s="5" t="s">
        <v>31</v>
      </c>
      <c r="H53" s="5" t="s">
        <v>56</v>
      </c>
      <c r="I53" s="19"/>
      <c r="J53" s="4"/>
    </row>
    <row r="54" spans="1:10" ht="15" customHeight="1" x14ac:dyDescent="0.3">
      <c r="A54" s="5">
        <v>53</v>
      </c>
      <c r="B54" s="5">
        <v>3</v>
      </c>
      <c r="C54" s="17" t="s">
        <v>232</v>
      </c>
      <c r="D54" s="4" t="s">
        <v>10</v>
      </c>
      <c r="E54" s="18">
        <v>151</v>
      </c>
      <c r="F54" s="4" t="s">
        <v>285</v>
      </c>
      <c r="G54" s="5" t="s">
        <v>31</v>
      </c>
      <c r="H54" s="5" t="s">
        <v>56</v>
      </c>
      <c r="I54" s="19"/>
      <c r="J54" s="4"/>
    </row>
    <row r="55" spans="1:10" ht="15" customHeight="1" x14ac:dyDescent="0.3">
      <c r="A55" s="5">
        <v>54</v>
      </c>
      <c r="B55" s="5">
        <v>3</v>
      </c>
      <c r="C55" s="17" t="s">
        <v>232</v>
      </c>
      <c r="D55" s="4" t="s">
        <v>10</v>
      </c>
      <c r="E55" s="18">
        <v>8</v>
      </c>
      <c r="F55" s="4" t="s">
        <v>286</v>
      </c>
      <c r="G55" s="5" t="s">
        <v>31</v>
      </c>
      <c r="H55" s="5" t="s">
        <v>56</v>
      </c>
      <c r="I55" s="19"/>
      <c r="J55" s="4"/>
    </row>
    <row r="56" spans="1:10" ht="15" customHeight="1" x14ac:dyDescent="0.3">
      <c r="A56" s="5">
        <v>55</v>
      </c>
      <c r="B56" s="5">
        <v>3</v>
      </c>
      <c r="C56" s="17" t="s">
        <v>232</v>
      </c>
      <c r="D56" s="4" t="s">
        <v>10</v>
      </c>
      <c r="E56" s="18">
        <v>5</v>
      </c>
      <c r="F56" s="4" t="s">
        <v>287</v>
      </c>
      <c r="G56" s="5" t="s">
        <v>31</v>
      </c>
      <c r="H56" s="5" t="s">
        <v>56</v>
      </c>
      <c r="I56" s="19"/>
      <c r="J56" s="4"/>
    </row>
    <row r="57" spans="1:10" ht="15" customHeight="1" x14ac:dyDescent="0.3">
      <c r="A57" s="5">
        <v>56</v>
      </c>
      <c r="B57" s="5">
        <v>3</v>
      </c>
      <c r="C57" s="17" t="s">
        <v>232</v>
      </c>
      <c r="D57" s="4" t="s">
        <v>10</v>
      </c>
      <c r="E57" s="18">
        <v>6</v>
      </c>
      <c r="F57" s="4" t="s">
        <v>288</v>
      </c>
      <c r="G57" s="5" t="s">
        <v>31</v>
      </c>
      <c r="H57" s="5" t="s">
        <v>56</v>
      </c>
      <c r="I57" s="19"/>
      <c r="J57" s="4"/>
    </row>
    <row r="58" spans="1:10" ht="15" customHeight="1" x14ac:dyDescent="0.3">
      <c r="A58" s="5">
        <v>57</v>
      </c>
      <c r="B58" s="5">
        <v>3</v>
      </c>
      <c r="C58" s="17" t="s">
        <v>232</v>
      </c>
      <c r="D58" s="4" t="s">
        <v>11</v>
      </c>
      <c r="E58" s="18">
        <v>383</v>
      </c>
      <c r="F58" s="4" t="s">
        <v>289</v>
      </c>
      <c r="G58" s="5" t="s">
        <v>30</v>
      </c>
      <c r="H58" s="5" t="s">
        <v>56</v>
      </c>
      <c r="I58" s="19"/>
      <c r="J58" s="4"/>
    </row>
    <row r="59" spans="1:10" ht="15" customHeight="1" x14ac:dyDescent="0.3">
      <c r="A59" s="5">
        <v>58</v>
      </c>
      <c r="B59" s="5">
        <v>3</v>
      </c>
      <c r="C59" s="17" t="s">
        <v>232</v>
      </c>
      <c r="D59" s="4" t="s">
        <v>11</v>
      </c>
      <c r="E59" s="18">
        <v>205</v>
      </c>
      <c r="F59" s="4" t="s">
        <v>290</v>
      </c>
      <c r="G59" s="5" t="s">
        <v>30</v>
      </c>
      <c r="H59" s="5" t="s">
        <v>56</v>
      </c>
      <c r="I59" s="19"/>
      <c r="J59" s="4"/>
    </row>
    <row r="60" spans="1:10" ht="15" customHeight="1" x14ac:dyDescent="0.3">
      <c r="A60" s="5">
        <v>59</v>
      </c>
      <c r="B60" s="5">
        <v>3</v>
      </c>
      <c r="C60" s="17" t="s">
        <v>232</v>
      </c>
      <c r="D60" s="4" t="s">
        <v>11</v>
      </c>
      <c r="E60" s="18">
        <v>347</v>
      </c>
      <c r="F60" s="4" t="s">
        <v>291</v>
      </c>
      <c r="G60" s="5" t="s">
        <v>31</v>
      </c>
      <c r="H60" s="5" t="s">
        <v>56</v>
      </c>
      <c r="I60" s="19"/>
      <c r="J60" s="4"/>
    </row>
    <row r="61" spans="1:10" ht="15" customHeight="1" x14ac:dyDescent="0.3">
      <c r="A61" s="5">
        <v>60</v>
      </c>
      <c r="B61" s="5">
        <v>3</v>
      </c>
      <c r="C61" s="17" t="s">
        <v>232</v>
      </c>
      <c r="D61" s="4" t="s">
        <v>11</v>
      </c>
      <c r="E61" s="18">
        <v>560</v>
      </c>
      <c r="F61" s="4" t="s">
        <v>292</v>
      </c>
      <c r="G61" s="5" t="s">
        <v>31</v>
      </c>
      <c r="H61" s="5" t="s">
        <v>56</v>
      </c>
      <c r="I61" s="19"/>
      <c r="J61" s="4"/>
    </row>
    <row r="62" spans="1:10" ht="15" customHeight="1" x14ac:dyDescent="0.3">
      <c r="A62" s="5">
        <v>61</v>
      </c>
      <c r="B62" s="5">
        <v>3</v>
      </c>
      <c r="C62" s="17" t="s">
        <v>232</v>
      </c>
      <c r="D62" s="4" t="s">
        <v>11</v>
      </c>
      <c r="E62" s="18">
        <v>454</v>
      </c>
      <c r="F62" s="4" t="s">
        <v>293</v>
      </c>
      <c r="G62" s="5" t="s">
        <v>31</v>
      </c>
      <c r="H62" s="5" t="s">
        <v>56</v>
      </c>
      <c r="I62" s="19"/>
      <c r="J62" s="4"/>
    </row>
    <row r="63" spans="1:10" ht="15" customHeight="1" x14ac:dyDescent="0.3">
      <c r="A63" s="5">
        <v>62</v>
      </c>
      <c r="B63" s="5">
        <v>3</v>
      </c>
      <c r="C63" s="17" t="s">
        <v>232</v>
      </c>
      <c r="D63" s="4" t="s">
        <v>11</v>
      </c>
      <c r="E63" s="18">
        <v>380</v>
      </c>
      <c r="F63" s="4" t="s">
        <v>294</v>
      </c>
      <c r="G63" s="5" t="s">
        <v>31</v>
      </c>
      <c r="H63" s="5" t="s">
        <v>56</v>
      </c>
      <c r="I63" s="19"/>
      <c r="J63" s="4"/>
    </row>
    <row r="64" spans="1:10" ht="15" customHeight="1" x14ac:dyDescent="0.3">
      <c r="A64" s="5">
        <v>63</v>
      </c>
      <c r="B64" s="5">
        <v>3</v>
      </c>
      <c r="C64" s="17" t="s">
        <v>232</v>
      </c>
      <c r="D64" s="4" t="s">
        <v>11</v>
      </c>
      <c r="E64" s="18">
        <v>146</v>
      </c>
      <c r="F64" s="4" t="s">
        <v>295</v>
      </c>
      <c r="G64" s="5" t="s">
        <v>31</v>
      </c>
      <c r="H64" s="5" t="s">
        <v>56</v>
      </c>
      <c r="I64" s="19"/>
      <c r="J64" s="4"/>
    </row>
    <row r="65" spans="1:10" ht="15" customHeight="1" x14ac:dyDescent="0.3">
      <c r="A65" s="5">
        <v>64</v>
      </c>
      <c r="B65" s="5">
        <v>4</v>
      </c>
      <c r="C65" s="20" t="s">
        <v>296</v>
      </c>
      <c r="D65" s="4" t="s">
        <v>12</v>
      </c>
      <c r="E65" s="18">
        <v>977</v>
      </c>
      <c r="F65" s="4" t="s">
        <v>297</v>
      </c>
      <c r="G65" s="5" t="s">
        <v>30</v>
      </c>
      <c r="H65" s="5" t="s">
        <v>56</v>
      </c>
      <c r="I65" s="19"/>
      <c r="J65" s="4"/>
    </row>
    <row r="66" spans="1:10" ht="15" customHeight="1" x14ac:dyDescent="0.3">
      <c r="A66" s="5">
        <v>65</v>
      </c>
      <c r="B66" s="5">
        <v>4</v>
      </c>
      <c r="C66" s="20" t="s">
        <v>296</v>
      </c>
      <c r="D66" s="4" t="s">
        <v>12</v>
      </c>
      <c r="E66" s="18">
        <v>392</v>
      </c>
      <c r="F66" s="4" t="s">
        <v>298</v>
      </c>
      <c r="G66" s="5" t="s">
        <v>30</v>
      </c>
      <c r="H66" s="5" t="s">
        <v>56</v>
      </c>
      <c r="I66" s="19"/>
      <c r="J66" s="4"/>
    </row>
    <row r="67" spans="1:10" ht="15" customHeight="1" x14ac:dyDescent="0.3">
      <c r="A67" s="5">
        <v>66</v>
      </c>
      <c r="B67" s="5">
        <v>4</v>
      </c>
      <c r="C67" s="20" t="s">
        <v>296</v>
      </c>
      <c r="D67" s="4" t="s">
        <v>12</v>
      </c>
      <c r="E67" s="18">
        <v>167</v>
      </c>
      <c r="F67" s="4" t="s">
        <v>299</v>
      </c>
      <c r="G67" s="5" t="s">
        <v>31</v>
      </c>
      <c r="H67" s="5" t="s">
        <v>56</v>
      </c>
      <c r="I67" s="19"/>
      <c r="J67" s="4"/>
    </row>
    <row r="68" spans="1:10" ht="15" customHeight="1" x14ac:dyDescent="0.3">
      <c r="A68" s="5">
        <v>67</v>
      </c>
      <c r="B68" s="5">
        <v>4</v>
      </c>
      <c r="C68" s="20" t="s">
        <v>296</v>
      </c>
      <c r="D68" s="4" t="s">
        <v>12</v>
      </c>
      <c r="E68" s="18">
        <v>643</v>
      </c>
      <c r="F68" s="4" t="s">
        <v>300</v>
      </c>
      <c r="G68" s="5" t="s">
        <v>30</v>
      </c>
      <c r="H68" s="5" t="s">
        <v>56</v>
      </c>
      <c r="I68" s="19"/>
      <c r="J68" s="4"/>
    </row>
    <row r="69" spans="1:10" ht="15" customHeight="1" x14ac:dyDescent="0.3">
      <c r="A69" s="5">
        <v>68</v>
      </c>
      <c r="B69" s="5">
        <v>4</v>
      </c>
      <c r="C69" s="20" t="s">
        <v>296</v>
      </c>
      <c r="D69" s="4" t="s">
        <v>12</v>
      </c>
      <c r="E69" s="18">
        <v>3</v>
      </c>
      <c r="F69" s="4" t="s">
        <v>301</v>
      </c>
      <c r="G69" s="5" t="s">
        <v>31</v>
      </c>
      <c r="H69" s="5" t="s">
        <v>56</v>
      </c>
      <c r="I69" s="19"/>
      <c r="J69" s="4"/>
    </row>
    <row r="70" spans="1:10" ht="15" customHeight="1" x14ac:dyDescent="0.3">
      <c r="A70" s="5">
        <v>69</v>
      </c>
      <c r="B70" s="5">
        <v>4</v>
      </c>
      <c r="C70" s="20" t="s">
        <v>296</v>
      </c>
      <c r="D70" s="4" t="s">
        <v>12</v>
      </c>
      <c r="E70" s="18">
        <v>209</v>
      </c>
      <c r="F70" s="4" t="s">
        <v>302</v>
      </c>
      <c r="G70" s="5" t="s">
        <v>31</v>
      </c>
      <c r="H70" s="5" t="s">
        <v>56</v>
      </c>
      <c r="I70" s="19"/>
      <c r="J70" s="4"/>
    </row>
    <row r="71" spans="1:10" ht="15" customHeight="1" x14ac:dyDescent="0.3">
      <c r="A71" s="5">
        <v>70</v>
      </c>
      <c r="B71" s="5">
        <v>4</v>
      </c>
      <c r="C71" s="20" t="s">
        <v>296</v>
      </c>
      <c r="D71" s="4" t="s">
        <v>12</v>
      </c>
      <c r="E71" s="18">
        <v>424</v>
      </c>
      <c r="F71" s="4" t="s">
        <v>303</v>
      </c>
      <c r="G71" s="5" t="s">
        <v>31</v>
      </c>
      <c r="H71" s="5" t="s">
        <v>56</v>
      </c>
      <c r="I71" s="19"/>
      <c r="J71" s="4"/>
    </row>
    <row r="72" spans="1:10" ht="15" customHeight="1" x14ac:dyDescent="0.3">
      <c r="A72" s="5">
        <v>71</v>
      </c>
      <c r="B72" s="5">
        <v>4</v>
      </c>
      <c r="C72" s="20" t="s">
        <v>296</v>
      </c>
      <c r="D72" s="4" t="s">
        <v>12</v>
      </c>
      <c r="E72" s="18">
        <v>567</v>
      </c>
      <c r="F72" s="4" t="s">
        <v>304</v>
      </c>
      <c r="G72" s="5" t="s">
        <v>31</v>
      </c>
      <c r="H72" s="5" t="s">
        <v>56</v>
      </c>
      <c r="I72" s="19"/>
      <c r="J72" s="4"/>
    </row>
    <row r="73" spans="1:10" ht="15" customHeight="1" x14ac:dyDescent="0.3">
      <c r="A73" s="5">
        <v>72</v>
      </c>
      <c r="B73" s="5">
        <v>4</v>
      </c>
      <c r="C73" s="20" t="s">
        <v>296</v>
      </c>
      <c r="D73" s="4" t="s">
        <v>12</v>
      </c>
      <c r="E73" s="18">
        <v>438</v>
      </c>
      <c r="F73" s="4" t="s">
        <v>305</v>
      </c>
      <c r="G73" s="5" t="s">
        <v>31</v>
      </c>
      <c r="H73" s="5" t="s">
        <v>56</v>
      </c>
      <c r="I73" s="19"/>
      <c r="J73" s="4"/>
    </row>
    <row r="74" spans="1:10" ht="15" customHeight="1" x14ac:dyDescent="0.3">
      <c r="A74" s="5">
        <v>73</v>
      </c>
      <c r="B74" s="5">
        <v>4</v>
      </c>
      <c r="C74" s="20" t="s">
        <v>296</v>
      </c>
      <c r="D74" s="4" t="s">
        <v>12</v>
      </c>
      <c r="E74" s="18">
        <v>76</v>
      </c>
      <c r="F74" s="4" t="s">
        <v>306</v>
      </c>
      <c r="G74" s="5" t="s">
        <v>32</v>
      </c>
      <c r="H74" s="5" t="s">
        <v>56</v>
      </c>
      <c r="I74" s="19"/>
      <c r="J74" s="4"/>
    </row>
    <row r="75" spans="1:10" ht="15" customHeight="1" x14ac:dyDescent="0.3">
      <c r="A75" s="5">
        <v>74</v>
      </c>
      <c r="B75" s="5">
        <v>4</v>
      </c>
      <c r="C75" s="20" t="s">
        <v>296</v>
      </c>
      <c r="D75" s="4" t="s">
        <v>12</v>
      </c>
      <c r="E75" s="18">
        <v>239</v>
      </c>
      <c r="F75" s="4" t="s">
        <v>307</v>
      </c>
      <c r="G75" s="5" t="s">
        <v>32</v>
      </c>
      <c r="H75" s="5" t="s">
        <v>56</v>
      </c>
      <c r="I75" s="19"/>
      <c r="J75" s="4"/>
    </row>
    <row r="76" spans="1:10" ht="15" customHeight="1" x14ac:dyDescent="0.3">
      <c r="A76" s="5">
        <v>75</v>
      </c>
      <c r="B76" s="5">
        <v>4</v>
      </c>
      <c r="C76" s="20" t="s">
        <v>296</v>
      </c>
      <c r="D76" s="4" t="s">
        <v>13</v>
      </c>
      <c r="E76" s="18">
        <v>1480</v>
      </c>
      <c r="F76" s="4" t="s">
        <v>308</v>
      </c>
      <c r="G76" s="5" t="s">
        <v>30</v>
      </c>
      <c r="H76" s="5" t="s">
        <v>56</v>
      </c>
      <c r="I76" s="19"/>
      <c r="J76" s="4"/>
    </row>
    <row r="77" spans="1:10" ht="15" customHeight="1" x14ac:dyDescent="0.3">
      <c r="A77" s="5">
        <v>76</v>
      </c>
      <c r="B77" s="5">
        <v>4</v>
      </c>
      <c r="C77" s="20" t="s">
        <v>296</v>
      </c>
      <c r="D77" s="4" t="s">
        <v>13</v>
      </c>
      <c r="E77" s="18">
        <v>303</v>
      </c>
      <c r="F77" s="4" t="s">
        <v>309</v>
      </c>
      <c r="G77" s="5" t="s">
        <v>30</v>
      </c>
      <c r="H77" s="5" t="s">
        <v>56</v>
      </c>
      <c r="I77" s="19"/>
      <c r="J77" s="4"/>
    </row>
    <row r="78" spans="1:10" ht="15" customHeight="1" x14ac:dyDescent="0.3">
      <c r="A78" s="5">
        <v>77</v>
      </c>
      <c r="B78" s="5">
        <v>4</v>
      </c>
      <c r="C78" s="20" t="s">
        <v>296</v>
      </c>
      <c r="D78" s="4" t="s">
        <v>13</v>
      </c>
      <c r="E78" s="18">
        <v>724</v>
      </c>
      <c r="F78" s="4" t="s">
        <v>310</v>
      </c>
      <c r="G78" s="5" t="s">
        <v>30</v>
      </c>
      <c r="H78" s="5" t="s">
        <v>56</v>
      </c>
      <c r="I78" s="19"/>
      <c r="J78" s="4"/>
    </row>
    <row r="79" spans="1:10" ht="15" customHeight="1" x14ac:dyDescent="0.3">
      <c r="A79" s="5">
        <v>78</v>
      </c>
      <c r="B79" s="5">
        <v>4</v>
      </c>
      <c r="C79" s="20" t="s">
        <v>296</v>
      </c>
      <c r="D79" s="4" t="s">
        <v>13</v>
      </c>
      <c r="E79" s="18">
        <v>525</v>
      </c>
      <c r="F79" s="4" t="s">
        <v>311</v>
      </c>
      <c r="G79" s="5" t="s">
        <v>31</v>
      </c>
      <c r="H79" s="5" t="s">
        <v>56</v>
      </c>
      <c r="I79" s="19"/>
      <c r="J79" s="4"/>
    </row>
    <row r="80" spans="1:10" ht="15" customHeight="1" x14ac:dyDescent="0.3">
      <c r="A80" s="5">
        <v>79</v>
      </c>
      <c r="B80" s="5">
        <v>4</v>
      </c>
      <c r="C80" s="20" t="s">
        <v>296</v>
      </c>
      <c r="D80" s="4" t="s">
        <v>13</v>
      </c>
      <c r="E80" s="18">
        <v>974</v>
      </c>
      <c r="F80" s="4" t="s">
        <v>312</v>
      </c>
      <c r="G80" s="5" t="s">
        <v>31</v>
      </c>
      <c r="H80" s="5" t="s">
        <v>56</v>
      </c>
      <c r="I80" s="19"/>
      <c r="J80" s="4"/>
    </row>
    <row r="81" spans="1:10" ht="15" customHeight="1" x14ac:dyDescent="0.3">
      <c r="A81" s="5">
        <v>80</v>
      </c>
      <c r="B81" s="5">
        <v>5</v>
      </c>
      <c r="C81" s="20" t="s">
        <v>296</v>
      </c>
      <c r="D81" s="4" t="s">
        <v>14</v>
      </c>
      <c r="E81" s="18">
        <v>704</v>
      </c>
      <c r="F81" s="4" t="s">
        <v>313</v>
      </c>
      <c r="G81" s="5" t="s">
        <v>30</v>
      </c>
      <c r="H81" s="5" t="s">
        <v>56</v>
      </c>
      <c r="I81" s="19"/>
      <c r="J81" s="4"/>
    </row>
    <row r="82" spans="1:10" ht="15" customHeight="1" x14ac:dyDescent="0.3">
      <c r="A82" s="5">
        <v>81</v>
      </c>
      <c r="B82" s="5">
        <v>5</v>
      </c>
      <c r="C82" s="20" t="s">
        <v>296</v>
      </c>
      <c r="D82" s="4" t="s">
        <v>14</v>
      </c>
      <c r="E82" s="18">
        <v>35</v>
      </c>
      <c r="F82" s="4" t="s">
        <v>314</v>
      </c>
      <c r="G82" s="5" t="s">
        <v>30</v>
      </c>
      <c r="H82" s="5" t="s">
        <v>56</v>
      </c>
      <c r="I82" s="19"/>
      <c r="J82" s="4"/>
    </row>
    <row r="83" spans="1:10" ht="15" customHeight="1" x14ac:dyDescent="0.3">
      <c r="A83" s="5">
        <v>82</v>
      </c>
      <c r="B83" s="5">
        <v>5</v>
      </c>
      <c r="C83" s="20" t="s">
        <v>296</v>
      </c>
      <c r="D83" s="4" t="s">
        <v>14</v>
      </c>
      <c r="E83" s="18">
        <v>278</v>
      </c>
      <c r="F83" s="4" t="s">
        <v>315</v>
      </c>
      <c r="G83" s="5" t="s">
        <v>30</v>
      </c>
      <c r="H83" s="5" t="s">
        <v>56</v>
      </c>
      <c r="I83" s="19"/>
      <c r="J83" s="4"/>
    </row>
    <row r="84" spans="1:10" ht="15" customHeight="1" x14ac:dyDescent="0.3">
      <c r="A84" s="5">
        <v>83</v>
      </c>
      <c r="B84" s="5">
        <v>5</v>
      </c>
      <c r="C84" s="20" t="s">
        <v>296</v>
      </c>
      <c r="D84" s="4" t="s">
        <v>14</v>
      </c>
      <c r="E84" s="18">
        <v>34</v>
      </c>
      <c r="F84" s="4" t="s">
        <v>316</v>
      </c>
      <c r="G84" s="5" t="s">
        <v>31</v>
      </c>
      <c r="H84" s="5" t="s">
        <v>56</v>
      </c>
      <c r="I84" s="19"/>
      <c r="J84" s="4"/>
    </row>
    <row r="85" spans="1:10" ht="15" customHeight="1" x14ac:dyDescent="0.3">
      <c r="A85" s="5">
        <v>84</v>
      </c>
      <c r="B85" s="5">
        <v>5</v>
      </c>
      <c r="C85" s="20" t="s">
        <v>296</v>
      </c>
      <c r="D85" s="4" t="s">
        <v>14</v>
      </c>
      <c r="E85" s="18">
        <v>33</v>
      </c>
      <c r="F85" s="4" t="s">
        <v>317</v>
      </c>
      <c r="G85" s="5" t="s">
        <v>31</v>
      </c>
      <c r="H85" s="5" t="s">
        <v>56</v>
      </c>
      <c r="I85" s="19"/>
      <c r="J85" s="4"/>
    </row>
    <row r="86" spans="1:10" ht="15" customHeight="1" x14ac:dyDescent="0.3">
      <c r="A86" s="5">
        <v>85</v>
      </c>
      <c r="B86" s="5">
        <v>5</v>
      </c>
      <c r="C86" s="20" t="s">
        <v>296</v>
      </c>
      <c r="D86" s="4" t="s">
        <v>14</v>
      </c>
      <c r="E86" s="18">
        <v>153</v>
      </c>
      <c r="F86" s="4" t="s">
        <v>318</v>
      </c>
      <c r="G86" s="5" t="s">
        <v>31</v>
      </c>
      <c r="H86" s="5" t="s">
        <v>56</v>
      </c>
      <c r="I86" s="19"/>
      <c r="J86" s="4"/>
    </row>
    <row r="87" spans="1:10" ht="15" customHeight="1" x14ac:dyDescent="0.3">
      <c r="A87" s="5">
        <v>86</v>
      </c>
      <c r="B87" s="5">
        <v>5</v>
      </c>
      <c r="C87" s="20" t="s">
        <v>296</v>
      </c>
      <c r="D87" s="4" t="s">
        <v>14</v>
      </c>
      <c r="E87" s="18">
        <v>162</v>
      </c>
      <c r="F87" s="4" t="s">
        <v>319</v>
      </c>
      <c r="G87" s="5" t="s">
        <v>31</v>
      </c>
      <c r="H87" s="5" t="s">
        <v>56</v>
      </c>
      <c r="I87" s="19"/>
      <c r="J87" s="4"/>
    </row>
    <row r="88" spans="1:10" ht="15" customHeight="1" x14ac:dyDescent="0.3">
      <c r="A88" s="5">
        <v>87</v>
      </c>
      <c r="B88" s="5">
        <v>5</v>
      </c>
      <c r="C88" s="20" t="s">
        <v>296</v>
      </c>
      <c r="D88" s="4" t="s">
        <v>14</v>
      </c>
      <c r="E88" s="18">
        <v>875</v>
      </c>
      <c r="F88" s="4" t="s">
        <v>320</v>
      </c>
      <c r="G88" s="5" t="s">
        <v>31</v>
      </c>
      <c r="H88" s="5" t="s">
        <v>56</v>
      </c>
      <c r="I88" s="19"/>
      <c r="J88" s="4"/>
    </row>
    <row r="89" spans="1:10" ht="15" customHeight="1" x14ac:dyDescent="0.3">
      <c r="A89" s="5">
        <v>88</v>
      </c>
      <c r="B89" s="5">
        <v>5</v>
      </c>
      <c r="C89" s="20" t="s">
        <v>296</v>
      </c>
      <c r="D89" s="4" t="s">
        <v>14</v>
      </c>
      <c r="E89" s="18">
        <v>1011</v>
      </c>
      <c r="F89" s="4" t="s">
        <v>321</v>
      </c>
      <c r="G89" s="5" t="s">
        <v>31</v>
      </c>
      <c r="H89" s="5" t="s">
        <v>56</v>
      </c>
      <c r="I89" s="19"/>
      <c r="J89" s="4"/>
    </row>
    <row r="90" spans="1:10" ht="15" customHeight="1" x14ac:dyDescent="0.3">
      <c r="A90" s="5">
        <v>89</v>
      </c>
      <c r="B90" s="5">
        <v>5</v>
      </c>
      <c r="C90" s="20" t="s">
        <v>296</v>
      </c>
      <c r="D90" s="4" t="s">
        <v>14</v>
      </c>
      <c r="E90" s="18">
        <v>410</v>
      </c>
      <c r="F90" s="4" t="s">
        <v>322</v>
      </c>
      <c r="G90" s="5" t="s">
        <v>32</v>
      </c>
      <c r="H90" s="5" t="s">
        <v>56</v>
      </c>
      <c r="I90" s="19"/>
      <c r="J90" s="4"/>
    </row>
    <row r="91" spans="1:10" ht="15" customHeight="1" x14ac:dyDescent="0.3">
      <c r="A91" s="5">
        <v>90</v>
      </c>
      <c r="B91" s="5">
        <v>5</v>
      </c>
      <c r="C91" s="20" t="s">
        <v>296</v>
      </c>
      <c r="D91" s="4" t="s">
        <v>14</v>
      </c>
      <c r="E91" s="18">
        <v>4</v>
      </c>
      <c r="F91" s="4" t="s">
        <v>323</v>
      </c>
      <c r="G91" s="5" t="s">
        <v>32</v>
      </c>
      <c r="H91" s="5" t="s">
        <v>56</v>
      </c>
      <c r="I91" s="19"/>
      <c r="J91" s="4"/>
    </row>
    <row r="92" spans="1:10" ht="15" customHeight="1" x14ac:dyDescent="0.3">
      <c r="A92" s="5">
        <v>91</v>
      </c>
      <c r="B92" s="5">
        <v>5</v>
      </c>
      <c r="C92" s="20" t="s">
        <v>296</v>
      </c>
      <c r="D92" s="4" t="s">
        <v>15</v>
      </c>
      <c r="E92" s="18">
        <v>912</v>
      </c>
      <c r="F92" s="4" t="s">
        <v>324</v>
      </c>
      <c r="G92" s="5" t="s">
        <v>31</v>
      </c>
      <c r="H92" s="5" t="s">
        <v>56</v>
      </c>
      <c r="I92" s="19"/>
      <c r="J92" s="4"/>
    </row>
    <row r="93" spans="1:10" ht="15" customHeight="1" x14ac:dyDescent="0.3">
      <c r="A93" s="5">
        <v>92</v>
      </c>
      <c r="B93" s="5">
        <v>5</v>
      </c>
      <c r="C93" s="20" t="s">
        <v>296</v>
      </c>
      <c r="D93" s="4" t="s">
        <v>15</v>
      </c>
      <c r="E93" s="18">
        <v>179</v>
      </c>
      <c r="F93" s="4" t="s">
        <v>325</v>
      </c>
      <c r="G93" s="5" t="s">
        <v>31</v>
      </c>
      <c r="H93" s="5" t="s">
        <v>56</v>
      </c>
      <c r="I93" s="19"/>
      <c r="J93" s="4"/>
    </row>
    <row r="94" spans="1:10" ht="15" customHeight="1" x14ac:dyDescent="0.3">
      <c r="A94" s="5">
        <v>93</v>
      </c>
      <c r="B94" s="5">
        <v>5</v>
      </c>
      <c r="C94" s="20" t="s">
        <v>296</v>
      </c>
      <c r="D94" s="4" t="s">
        <v>15</v>
      </c>
      <c r="E94" s="18">
        <v>215</v>
      </c>
      <c r="F94" s="4" t="s">
        <v>326</v>
      </c>
      <c r="G94" s="5" t="s">
        <v>31</v>
      </c>
      <c r="H94" s="5" t="s">
        <v>56</v>
      </c>
      <c r="I94" s="19"/>
      <c r="J94" s="4"/>
    </row>
    <row r="95" spans="1:10" ht="15" customHeight="1" x14ac:dyDescent="0.3">
      <c r="A95" s="5">
        <v>94</v>
      </c>
      <c r="B95" s="5">
        <v>5</v>
      </c>
      <c r="C95" s="20" t="s">
        <v>296</v>
      </c>
      <c r="D95" s="4" t="s">
        <v>15</v>
      </c>
      <c r="E95" s="18">
        <v>148</v>
      </c>
      <c r="F95" s="4" t="s">
        <v>327</v>
      </c>
      <c r="G95" s="5" t="s">
        <v>31</v>
      </c>
      <c r="H95" s="5" t="s">
        <v>56</v>
      </c>
      <c r="I95" s="19"/>
      <c r="J95" s="4"/>
    </row>
    <row r="96" spans="1:10" ht="15" customHeight="1" x14ac:dyDescent="0.3">
      <c r="A96" s="5">
        <v>95</v>
      </c>
      <c r="B96" s="5">
        <v>6</v>
      </c>
      <c r="C96" s="20" t="s">
        <v>296</v>
      </c>
      <c r="D96" s="4" t="s">
        <v>16</v>
      </c>
      <c r="E96" s="18">
        <v>78</v>
      </c>
      <c r="F96" s="4" t="s">
        <v>328</v>
      </c>
      <c r="G96" s="5" t="s">
        <v>31</v>
      </c>
      <c r="H96" s="5" t="s">
        <v>56</v>
      </c>
      <c r="I96" s="19"/>
      <c r="J96" s="4"/>
    </row>
    <row r="97" spans="1:10" ht="15" customHeight="1" x14ac:dyDescent="0.3">
      <c r="A97" s="5">
        <v>96</v>
      </c>
      <c r="B97" s="5">
        <v>6</v>
      </c>
      <c r="C97" s="20" t="s">
        <v>296</v>
      </c>
      <c r="D97" s="4" t="s">
        <v>16</v>
      </c>
      <c r="E97" s="18">
        <v>90</v>
      </c>
      <c r="F97" s="4" t="s">
        <v>329</v>
      </c>
      <c r="G97" s="5" t="s">
        <v>31</v>
      </c>
      <c r="H97" s="5" t="s">
        <v>56</v>
      </c>
      <c r="I97" s="19"/>
      <c r="J97" s="4"/>
    </row>
    <row r="98" spans="1:10" ht="15" customHeight="1" x14ac:dyDescent="0.3">
      <c r="A98" s="5">
        <v>97</v>
      </c>
      <c r="B98" s="5">
        <v>6</v>
      </c>
      <c r="C98" s="20" t="s">
        <v>296</v>
      </c>
      <c r="D98" s="4" t="s">
        <v>16</v>
      </c>
      <c r="E98" s="18">
        <v>46</v>
      </c>
      <c r="F98" s="4" t="s">
        <v>330</v>
      </c>
      <c r="G98" s="5" t="s">
        <v>31</v>
      </c>
      <c r="H98" s="5" t="s">
        <v>56</v>
      </c>
      <c r="I98" s="19"/>
      <c r="J98" s="4"/>
    </row>
    <row r="99" spans="1:10" ht="15" customHeight="1" x14ac:dyDescent="0.3">
      <c r="A99" s="5">
        <v>98</v>
      </c>
      <c r="B99" s="5">
        <v>6</v>
      </c>
      <c r="C99" s="20" t="s">
        <v>296</v>
      </c>
      <c r="D99" s="4" t="s">
        <v>16</v>
      </c>
      <c r="E99" s="18">
        <v>17</v>
      </c>
      <c r="F99" s="4" t="s">
        <v>331</v>
      </c>
      <c r="G99" s="5" t="s">
        <v>31</v>
      </c>
      <c r="H99" s="5" t="s">
        <v>56</v>
      </c>
      <c r="I99" s="19"/>
      <c r="J99" s="4"/>
    </row>
    <row r="100" spans="1:10" ht="15" customHeight="1" x14ac:dyDescent="0.3">
      <c r="A100" s="5">
        <v>99</v>
      </c>
      <c r="B100" s="5">
        <v>6</v>
      </c>
      <c r="C100" s="20" t="s">
        <v>296</v>
      </c>
      <c r="D100" s="4" t="s">
        <v>16</v>
      </c>
      <c r="E100" s="18">
        <v>39</v>
      </c>
      <c r="F100" s="4" t="s">
        <v>332</v>
      </c>
      <c r="G100" s="5" t="s">
        <v>31</v>
      </c>
      <c r="H100" s="5" t="s">
        <v>56</v>
      </c>
      <c r="I100" s="19"/>
      <c r="J100" s="4"/>
    </row>
    <row r="101" spans="1:10" ht="15" customHeight="1" x14ac:dyDescent="0.3">
      <c r="A101" s="5">
        <v>100</v>
      </c>
      <c r="B101" s="5">
        <v>6</v>
      </c>
      <c r="C101" s="20" t="s">
        <v>296</v>
      </c>
      <c r="D101" s="4" t="s">
        <v>16</v>
      </c>
      <c r="E101" s="18">
        <v>40</v>
      </c>
      <c r="F101" s="4" t="s">
        <v>333</v>
      </c>
      <c r="G101" s="5" t="s">
        <v>31</v>
      </c>
      <c r="H101" s="5" t="s">
        <v>56</v>
      </c>
      <c r="I101" s="19"/>
      <c r="J101" s="4"/>
    </row>
    <row r="102" spans="1:10" ht="15" customHeight="1" x14ac:dyDescent="0.3">
      <c r="A102" s="5">
        <v>101</v>
      </c>
      <c r="B102" s="5">
        <v>6</v>
      </c>
      <c r="C102" s="20" t="s">
        <v>296</v>
      </c>
      <c r="D102" s="4" t="s">
        <v>16</v>
      </c>
      <c r="E102" s="18">
        <v>22</v>
      </c>
      <c r="F102" s="4" t="s">
        <v>334</v>
      </c>
      <c r="G102" s="5" t="s">
        <v>31</v>
      </c>
      <c r="H102" s="5" t="s">
        <v>56</v>
      </c>
      <c r="I102" s="19"/>
      <c r="J102" s="4"/>
    </row>
    <row r="103" spans="1:10" ht="15" customHeight="1" x14ac:dyDescent="0.3">
      <c r="A103" s="5">
        <v>102</v>
      </c>
      <c r="B103" s="5">
        <v>6</v>
      </c>
      <c r="C103" s="20" t="s">
        <v>296</v>
      </c>
      <c r="D103" s="4" t="s">
        <v>16</v>
      </c>
      <c r="E103" s="18">
        <v>131</v>
      </c>
      <c r="F103" s="4" t="s">
        <v>335</v>
      </c>
      <c r="G103" s="5" t="s">
        <v>31</v>
      </c>
      <c r="H103" s="5" t="s">
        <v>56</v>
      </c>
      <c r="I103" s="19"/>
      <c r="J103" s="4"/>
    </row>
    <row r="104" spans="1:10" ht="15" customHeight="1" x14ac:dyDescent="0.3">
      <c r="A104" s="5">
        <v>103</v>
      </c>
      <c r="B104" s="5">
        <v>6</v>
      </c>
      <c r="C104" s="20" t="s">
        <v>296</v>
      </c>
      <c r="D104" s="4" t="s">
        <v>16</v>
      </c>
      <c r="E104" s="18">
        <v>79</v>
      </c>
      <c r="F104" s="4" t="s">
        <v>336</v>
      </c>
      <c r="G104" s="5" t="s">
        <v>31</v>
      </c>
      <c r="H104" s="5" t="s">
        <v>56</v>
      </c>
      <c r="I104" s="19"/>
      <c r="J104" s="4"/>
    </row>
    <row r="105" spans="1:10" ht="15" customHeight="1" x14ac:dyDescent="0.3">
      <c r="A105" s="5">
        <v>104</v>
      </c>
      <c r="B105" s="5">
        <v>6</v>
      </c>
      <c r="C105" s="20" t="s">
        <v>296</v>
      </c>
      <c r="D105" s="4" t="s">
        <v>16</v>
      </c>
      <c r="E105" s="18">
        <v>51</v>
      </c>
      <c r="F105" s="4" t="s">
        <v>337</v>
      </c>
      <c r="G105" s="5" t="s">
        <v>32</v>
      </c>
      <c r="H105" s="5" t="s">
        <v>56</v>
      </c>
      <c r="I105" s="19"/>
      <c r="J105" s="4"/>
    </row>
    <row r="106" spans="1:10" ht="15" customHeight="1" x14ac:dyDescent="0.3">
      <c r="A106" s="5">
        <v>105</v>
      </c>
      <c r="B106" s="5">
        <v>6</v>
      </c>
      <c r="C106" s="20" t="s">
        <v>296</v>
      </c>
      <c r="D106" s="4" t="s">
        <v>16</v>
      </c>
      <c r="E106" s="18">
        <v>37</v>
      </c>
      <c r="F106" s="4" t="s">
        <v>338</v>
      </c>
      <c r="G106" s="5" t="s">
        <v>32</v>
      </c>
      <c r="H106" s="5" t="s">
        <v>56</v>
      </c>
      <c r="I106" s="19"/>
      <c r="J106" s="4"/>
    </row>
    <row r="107" spans="1:10" ht="15" customHeight="1" x14ac:dyDescent="0.3">
      <c r="A107" s="5">
        <v>106</v>
      </c>
      <c r="B107" s="5">
        <v>7</v>
      </c>
      <c r="C107" s="21" t="s">
        <v>339</v>
      </c>
      <c r="D107" s="4" t="s">
        <v>17</v>
      </c>
      <c r="E107" s="18">
        <v>206</v>
      </c>
      <c r="F107" s="4" t="s">
        <v>340</v>
      </c>
      <c r="G107" s="5" t="s">
        <v>30</v>
      </c>
      <c r="H107" s="5" t="s">
        <v>56</v>
      </c>
      <c r="I107" s="19"/>
      <c r="J107" s="4"/>
    </row>
    <row r="108" spans="1:10" ht="15" customHeight="1" x14ac:dyDescent="0.3">
      <c r="A108" s="5">
        <v>107</v>
      </c>
      <c r="B108" s="5">
        <v>7</v>
      </c>
      <c r="C108" s="21" t="s">
        <v>339</v>
      </c>
      <c r="D108" s="4" t="s">
        <v>17</v>
      </c>
      <c r="E108" s="18">
        <v>21</v>
      </c>
      <c r="F108" s="4" t="s">
        <v>341</v>
      </c>
      <c r="G108" s="5" t="s">
        <v>30</v>
      </c>
      <c r="H108" s="5" t="s">
        <v>56</v>
      </c>
      <c r="I108" s="19"/>
      <c r="J108" s="4"/>
    </row>
    <row r="109" spans="1:10" ht="15" customHeight="1" x14ac:dyDescent="0.3">
      <c r="A109" s="5">
        <v>108</v>
      </c>
      <c r="B109" s="5">
        <v>7</v>
      </c>
      <c r="C109" s="21" t="s">
        <v>339</v>
      </c>
      <c r="D109" s="4" t="s">
        <v>17</v>
      </c>
      <c r="E109" s="18">
        <v>83</v>
      </c>
      <c r="F109" s="4" t="s">
        <v>342</v>
      </c>
      <c r="G109" s="5" t="s">
        <v>30</v>
      </c>
      <c r="H109" s="5" t="s">
        <v>56</v>
      </c>
      <c r="I109" s="19"/>
      <c r="J109" s="4"/>
    </row>
    <row r="110" spans="1:10" ht="15" customHeight="1" x14ac:dyDescent="0.3">
      <c r="A110" s="5">
        <v>109</v>
      </c>
      <c r="B110" s="5">
        <v>7</v>
      </c>
      <c r="C110" s="21" t="s">
        <v>339</v>
      </c>
      <c r="D110" s="4" t="s">
        <v>17</v>
      </c>
      <c r="E110" s="18">
        <v>141</v>
      </c>
      <c r="F110" s="4" t="s">
        <v>343</v>
      </c>
      <c r="G110" s="5" t="s">
        <v>30</v>
      </c>
      <c r="H110" s="5" t="s">
        <v>56</v>
      </c>
      <c r="I110" s="19"/>
      <c r="J110" s="4"/>
    </row>
    <row r="111" spans="1:10" ht="15" customHeight="1" x14ac:dyDescent="0.3">
      <c r="A111" s="5">
        <v>110</v>
      </c>
      <c r="B111" s="5">
        <v>7</v>
      </c>
      <c r="C111" s="21" t="s">
        <v>339</v>
      </c>
      <c r="D111" s="4" t="s">
        <v>17</v>
      </c>
      <c r="E111" s="18">
        <v>876</v>
      </c>
      <c r="F111" s="4" t="s">
        <v>344</v>
      </c>
      <c r="G111" s="5" t="s">
        <v>30</v>
      </c>
      <c r="H111" s="5" t="s">
        <v>56</v>
      </c>
      <c r="I111" s="19"/>
      <c r="J111" s="4"/>
    </row>
    <row r="112" spans="1:10" ht="15" customHeight="1" x14ac:dyDescent="0.3">
      <c r="A112" s="5">
        <v>111</v>
      </c>
      <c r="B112" s="5">
        <v>7</v>
      </c>
      <c r="C112" s="21" t="s">
        <v>339</v>
      </c>
      <c r="D112" s="4" t="s">
        <v>17</v>
      </c>
      <c r="E112" s="18">
        <v>160</v>
      </c>
      <c r="F112" s="4" t="s">
        <v>345</v>
      </c>
      <c r="G112" s="5" t="s">
        <v>30</v>
      </c>
      <c r="H112" s="5" t="s">
        <v>56</v>
      </c>
      <c r="I112" s="19"/>
      <c r="J112" s="4"/>
    </row>
    <row r="113" spans="1:10" ht="15" customHeight="1" x14ac:dyDescent="0.3">
      <c r="A113" s="5">
        <v>112</v>
      </c>
      <c r="B113" s="5">
        <v>7</v>
      </c>
      <c r="C113" s="21" t="s">
        <v>339</v>
      </c>
      <c r="D113" s="4" t="s">
        <v>17</v>
      </c>
      <c r="E113" s="18">
        <v>234</v>
      </c>
      <c r="F113" s="4" t="s">
        <v>346</v>
      </c>
      <c r="G113" s="5" t="s">
        <v>30</v>
      </c>
      <c r="H113" s="5" t="s">
        <v>56</v>
      </c>
      <c r="I113" s="19"/>
      <c r="J113" s="4"/>
    </row>
    <row r="114" spans="1:10" ht="15" customHeight="1" x14ac:dyDescent="0.3">
      <c r="A114" s="5">
        <v>113</v>
      </c>
      <c r="B114" s="5">
        <v>7</v>
      </c>
      <c r="C114" s="21" t="s">
        <v>339</v>
      </c>
      <c r="D114" s="4" t="s">
        <v>17</v>
      </c>
      <c r="E114" s="18">
        <v>19</v>
      </c>
      <c r="F114" s="4" t="s">
        <v>347</v>
      </c>
      <c r="G114" s="5" t="s">
        <v>31</v>
      </c>
      <c r="H114" s="5" t="s">
        <v>56</v>
      </c>
      <c r="I114" s="19"/>
      <c r="J114" s="4"/>
    </row>
    <row r="115" spans="1:10" ht="15" customHeight="1" x14ac:dyDescent="0.3">
      <c r="A115" s="5">
        <v>114</v>
      </c>
      <c r="B115" s="5">
        <v>7</v>
      </c>
      <c r="C115" s="21" t="s">
        <v>339</v>
      </c>
      <c r="D115" s="4" t="s">
        <v>17</v>
      </c>
      <c r="E115" s="18">
        <v>2</v>
      </c>
      <c r="F115" s="4" t="s">
        <v>348</v>
      </c>
      <c r="G115" s="5" t="s">
        <v>31</v>
      </c>
      <c r="H115" s="5" t="s">
        <v>56</v>
      </c>
      <c r="I115" s="19"/>
      <c r="J115" s="4"/>
    </row>
    <row r="116" spans="1:10" ht="15" customHeight="1" x14ac:dyDescent="0.3">
      <c r="A116" s="5">
        <v>115</v>
      </c>
      <c r="B116" s="5">
        <v>7</v>
      </c>
      <c r="C116" s="21" t="s">
        <v>339</v>
      </c>
      <c r="D116" s="4" t="s">
        <v>17</v>
      </c>
      <c r="E116" s="18">
        <v>142</v>
      </c>
      <c r="F116" s="4" t="s">
        <v>349</v>
      </c>
      <c r="G116" s="5" t="s">
        <v>31</v>
      </c>
      <c r="H116" s="5" t="s">
        <v>56</v>
      </c>
      <c r="I116" s="19"/>
      <c r="J116" s="4"/>
    </row>
    <row r="117" spans="1:10" ht="15" customHeight="1" x14ac:dyDescent="0.3">
      <c r="A117" s="5">
        <v>116</v>
      </c>
      <c r="B117" s="5">
        <v>7</v>
      </c>
      <c r="C117" s="21" t="s">
        <v>339</v>
      </c>
      <c r="D117" s="4" t="s">
        <v>17</v>
      </c>
      <c r="E117" s="18">
        <v>143</v>
      </c>
      <c r="F117" s="4" t="s">
        <v>350</v>
      </c>
      <c r="G117" s="5" t="s">
        <v>31</v>
      </c>
      <c r="H117" s="5" t="s">
        <v>56</v>
      </c>
      <c r="I117" s="19"/>
      <c r="J117" s="4"/>
    </row>
    <row r="118" spans="1:10" ht="15" customHeight="1" x14ac:dyDescent="0.3">
      <c r="A118" s="5">
        <v>117</v>
      </c>
      <c r="B118" s="5">
        <v>7</v>
      </c>
      <c r="C118" s="21" t="s">
        <v>339</v>
      </c>
      <c r="D118" s="4" t="s">
        <v>17</v>
      </c>
      <c r="E118" s="18">
        <v>138</v>
      </c>
      <c r="F118" s="4" t="s">
        <v>351</v>
      </c>
      <c r="G118" s="5" t="s">
        <v>31</v>
      </c>
      <c r="H118" s="5" t="s">
        <v>56</v>
      </c>
      <c r="I118" s="19"/>
      <c r="J118" s="4"/>
    </row>
    <row r="119" spans="1:10" ht="15" customHeight="1" x14ac:dyDescent="0.3">
      <c r="A119" s="5">
        <v>118</v>
      </c>
      <c r="B119" s="5">
        <v>7</v>
      </c>
      <c r="C119" s="21" t="s">
        <v>339</v>
      </c>
      <c r="D119" s="4" t="s">
        <v>17</v>
      </c>
      <c r="E119" s="18">
        <v>25</v>
      </c>
      <c r="F119" s="4" t="s">
        <v>352</v>
      </c>
      <c r="G119" s="5" t="s">
        <v>32</v>
      </c>
      <c r="H119" s="5" t="s">
        <v>56</v>
      </c>
      <c r="I119" s="19"/>
      <c r="J119" s="4"/>
    </row>
    <row r="120" spans="1:10" ht="15" customHeight="1" x14ac:dyDescent="0.3">
      <c r="A120" s="5">
        <v>119</v>
      </c>
      <c r="B120" s="5">
        <v>7</v>
      </c>
      <c r="C120" s="21" t="s">
        <v>339</v>
      </c>
      <c r="D120" s="4" t="s">
        <v>17</v>
      </c>
      <c r="E120" s="18">
        <v>23</v>
      </c>
      <c r="F120" s="4" t="s">
        <v>353</v>
      </c>
      <c r="G120" s="5" t="s">
        <v>32</v>
      </c>
      <c r="H120" s="5" t="s">
        <v>56</v>
      </c>
      <c r="I120" s="19"/>
      <c r="J120" s="4"/>
    </row>
    <row r="121" spans="1:10" ht="15" customHeight="1" x14ac:dyDescent="0.3">
      <c r="A121" s="5">
        <v>120</v>
      </c>
      <c r="B121" s="5">
        <v>8</v>
      </c>
      <c r="C121" s="21" t="s">
        <v>339</v>
      </c>
      <c r="D121" s="4" t="s">
        <v>18</v>
      </c>
      <c r="E121" s="18">
        <v>20</v>
      </c>
      <c r="F121" s="4" t="s">
        <v>354</v>
      </c>
      <c r="G121" s="5" t="s">
        <v>30</v>
      </c>
      <c r="H121" s="5" t="s">
        <v>56</v>
      </c>
      <c r="I121" s="19"/>
      <c r="J121" s="4"/>
    </row>
    <row r="122" spans="1:10" ht="15" customHeight="1" x14ac:dyDescent="0.3">
      <c r="A122" s="5">
        <v>121</v>
      </c>
      <c r="B122" s="5">
        <v>8</v>
      </c>
      <c r="C122" s="21" t="s">
        <v>339</v>
      </c>
      <c r="D122" s="4" t="s">
        <v>18</v>
      </c>
      <c r="E122" s="18">
        <v>232</v>
      </c>
      <c r="F122" s="4" t="s">
        <v>355</v>
      </c>
      <c r="G122" s="5" t="s">
        <v>30</v>
      </c>
      <c r="H122" s="5" t="s">
        <v>56</v>
      </c>
      <c r="I122" s="19"/>
      <c r="J122" s="4"/>
    </row>
    <row r="123" spans="1:10" ht="15" customHeight="1" x14ac:dyDescent="0.3">
      <c r="A123" s="5">
        <v>122</v>
      </c>
      <c r="B123" s="5">
        <v>8</v>
      </c>
      <c r="C123" s="21" t="s">
        <v>339</v>
      </c>
      <c r="D123" s="4" t="s">
        <v>18</v>
      </c>
      <c r="E123" s="18">
        <v>225</v>
      </c>
      <c r="F123" s="4" t="s">
        <v>356</v>
      </c>
      <c r="G123" s="5" t="s">
        <v>30</v>
      </c>
      <c r="H123" s="5" t="s">
        <v>56</v>
      </c>
      <c r="I123" s="19"/>
      <c r="J123" s="4"/>
    </row>
    <row r="124" spans="1:10" ht="15" customHeight="1" x14ac:dyDescent="0.3">
      <c r="A124" s="5">
        <v>123</v>
      </c>
      <c r="B124" s="5">
        <v>8</v>
      </c>
      <c r="C124" s="21" t="s">
        <v>339</v>
      </c>
      <c r="D124" s="4" t="s">
        <v>18</v>
      </c>
      <c r="E124" s="18">
        <v>496</v>
      </c>
      <c r="F124" s="4" t="s">
        <v>357</v>
      </c>
      <c r="G124" s="5" t="s">
        <v>30</v>
      </c>
      <c r="H124" s="5" t="s">
        <v>56</v>
      </c>
      <c r="I124" s="19"/>
      <c r="J124" s="4"/>
    </row>
    <row r="125" spans="1:10" ht="15" customHeight="1" x14ac:dyDescent="0.3">
      <c r="A125" s="5">
        <v>124</v>
      </c>
      <c r="B125" s="5">
        <v>8</v>
      </c>
      <c r="C125" s="21" t="s">
        <v>339</v>
      </c>
      <c r="D125" s="4" t="s">
        <v>18</v>
      </c>
      <c r="E125" s="18">
        <v>155</v>
      </c>
      <c r="F125" s="4" t="s">
        <v>358</v>
      </c>
      <c r="G125" s="5" t="s">
        <v>31</v>
      </c>
      <c r="H125" s="5" t="s">
        <v>56</v>
      </c>
      <c r="I125" s="19"/>
      <c r="J125" s="4"/>
    </row>
    <row r="126" spans="1:10" ht="15" customHeight="1" x14ac:dyDescent="0.3">
      <c r="A126" s="5">
        <v>125</v>
      </c>
      <c r="B126" s="5">
        <v>8</v>
      </c>
      <c r="C126" s="21" t="s">
        <v>339</v>
      </c>
      <c r="D126" s="4" t="s">
        <v>18</v>
      </c>
      <c r="E126" s="18">
        <v>150</v>
      </c>
      <c r="F126" s="4" t="s">
        <v>359</v>
      </c>
      <c r="G126" s="5" t="s">
        <v>31</v>
      </c>
      <c r="H126" s="5" t="s">
        <v>56</v>
      </c>
      <c r="I126" s="19"/>
      <c r="J126" s="4"/>
    </row>
    <row r="127" spans="1:10" ht="15" customHeight="1" x14ac:dyDescent="0.3">
      <c r="A127" s="5">
        <v>126</v>
      </c>
      <c r="B127" s="5">
        <v>8</v>
      </c>
      <c r="C127" s="21" t="s">
        <v>339</v>
      </c>
      <c r="D127" s="4" t="s">
        <v>18</v>
      </c>
      <c r="E127" s="18">
        <v>739</v>
      </c>
      <c r="F127" s="4" t="s">
        <v>360</v>
      </c>
      <c r="G127" s="5" t="s">
        <v>31</v>
      </c>
      <c r="H127" s="5" t="s">
        <v>56</v>
      </c>
      <c r="I127" s="19"/>
      <c r="J127" s="4"/>
    </row>
    <row r="128" spans="1:10" ht="15" customHeight="1" x14ac:dyDescent="0.3">
      <c r="A128" s="5">
        <v>127</v>
      </c>
      <c r="B128" s="5">
        <v>8</v>
      </c>
      <c r="C128" s="21" t="s">
        <v>339</v>
      </c>
      <c r="D128" s="4" t="s">
        <v>18</v>
      </c>
      <c r="E128" s="18">
        <v>394</v>
      </c>
      <c r="F128" s="4" t="s">
        <v>361</v>
      </c>
      <c r="G128" s="5" t="s">
        <v>31</v>
      </c>
      <c r="H128" s="5" t="s">
        <v>56</v>
      </c>
      <c r="I128" s="19"/>
      <c r="J128" s="4"/>
    </row>
    <row r="129" spans="1:10" ht="15" customHeight="1" x14ac:dyDescent="0.3">
      <c r="A129" s="5">
        <v>128</v>
      </c>
      <c r="B129" s="5">
        <v>8</v>
      </c>
      <c r="C129" s="21" t="s">
        <v>339</v>
      </c>
      <c r="D129" s="4" t="s">
        <v>18</v>
      </c>
      <c r="E129" s="18">
        <v>224</v>
      </c>
      <c r="F129" s="4" t="s">
        <v>362</v>
      </c>
      <c r="G129" s="5" t="s">
        <v>32</v>
      </c>
      <c r="H129" s="5" t="s">
        <v>56</v>
      </c>
      <c r="I129" s="19"/>
      <c r="J129" s="4"/>
    </row>
    <row r="130" spans="1:10" ht="15" customHeight="1" x14ac:dyDescent="0.3">
      <c r="A130" s="5">
        <v>129</v>
      </c>
      <c r="B130" s="5">
        <v>8</v>
      </c>
      <c r="C130" s="21" t="s">
        <v>339</v>
      </c>
      <c r="D130" s="4" t="s">
        <v>18</v>
      </c>
      <c r="E130" s="18">
        <v>84</v>
      </c>
      <c r="F130" s="4" t="s">
        <v>363</v>
      </c>
      <c r="G130" s="5" t="s">
        <v>32</v>
      </c>
      <c r="H130" s="5" t="s">
        <v>56</v>
      </c>
      <c r="I130" s="19"/>
      <c r="J130" s="4"/>
    </row>
    <row r="131" spans="1:10" ht="15" customHeight="1" x14ac:dyDescent="0.3">
      <c r="A131" s="5">
        <v>130</v>
      </c>
      <c r="B131" s="5">
        <v>8</v>
      </c>
      <c r="C131" s="21" t="s">
        <v>339</v>
      </c>
      <c r="D131" s="4" t="s">
        <v>18</v>
      </c>
      <c r="E131" s="18">
        <v>85</v>
      </c>
      <c r="F131" s="4" t="s">
        <v>364</v>
      </c>
      <c r="G131" s="5" t="s">
        <v>32</v>
      </c>
      <c r="H131" s="5" t="s">
        <v>56</v>
      </c>
      <c r="I131" s="19"/>
      <c r="J131" s="4"/>
    </row>
    <row r="132" spans="1:10" ht="15" customHeight="1" x14ac:dyDescent="0.3">
      <c r="A132" s="5">
        <v>131</v>
      </c>
      <c r="B132" s="5">
        <v>9</v>
      </c>
      <c r="C132" s="21" t="s">
        <v>339</v>
      </c>
      <c r="D132" s="4" t="s">
        <v>19</v>
      </c>
      <c r="E132" s="18">
        <v>104</v>
      </c>
      <c r="F132" s="4" t="s">
        <v>365</v>
      </c>
      <c r="G132" s="5" t="s">
        <v>30</v>
      </c>
      <c r="H132" s="5" t="s">
        <v>56</v>
      </c>
      <c r="I132" s="19"/>
      <c r="J132" s="4"/>
    </row>
    <row r="133" spans="1:10" ht="15" customHeight="1" x14ac:dyDescent="0.3">
      <c r="A133" s="5">
        <v>132</v>
      </c>
      <c r="B133" s="5">
        <v>9</v>
      </c>
      <c r="C133" s="21" t="s">
        <v>339</v>
      </c>
      <c r="D133" s="4" t="s">
        <v>19</v>
      </c>
      <c r="E133" s="18">
        <v>100</v>
      </c>
      <c r="F133" s="4" t="s">
        <v>366</v>
      </c>
      <c r="G133" s="5" t="s">
        <v>30</v>
      </c>
      <c r="H133" s="5" t="s">
        <v>56</v>
      </c>
      <c r="I133" s="19"/>
      <c r="J133" s="4"/>
    </row>
    <row r="134" spans="1:10" ht="15" customHeight="1" x14ac:dyDescent="0.3">
      <c r="A134" s="5">
        <v>133</v>
      </c>
      <c r="B134" s="5">
        <v>9</v>
      </c>
      <c r="C134" s="21" t="s">
        <v>339</v>
      </c>
      <c r="D134" s="4" t="s">
        <v>19</v>
      </c>
      <c r="E134" s="18">
        <v>226</v>
      </c>
      <c r="F134" s="4" t="s">
        <v>367</v>
      </c>
      <c r="G134" s="5" t="s">
        <v>30</v>
      </c>
      <c r="H134" s="5" t="s">
        <v>56</v>
      </c>
      <c r="I134" s="19"/>
      <c r="J134" s="4"/>
    </row>
    <row r="135" spans="1:10" ht="15" customHeight="1" x14ac:dyDescent="0.3">
      <c r="A135" s="5">
        <v>134</v>
      </c>
      <c r="B135" s="5">
        <v>9</v>
      </c>
      <c r="C135" s="21" t="s">
        <v>339</v>
      </c>
      <c r="D135" s="4" t="s">
        <v>19</v>
      </c>
      <c r="E135" s="18">
        <v>101</v>
      </c>
      <c r="F135" s="4" t="s">
        <v>368</v>
      </c>
      <c r="G135" s="5" t="s">
        <v>30</v>
      </c>
      <c r="H135" s="5" t="s">
        <v>56</v>
      </c>
      <c r="I135" s="19"/>
      <c r="J135" s="4"/>
    </row>
    <row r="136" spans="1:10" ht="15" customHeight="1" x14ac:dyDescent="0.3">
      <c r="A136" s="5">
        <v>135</v>
      </c>
      <c r="B136" s="5">
        <v>9</v>
      </c>
      <c r="C136" s="21" t="s">
        <v>339</v>
      </c>
      <c r="D136" s="4" t="s">
        <v>19</v>
      </c>
      <c r="E136" s="18">
        <v>94</v>
      </c>
      <c r="F136" s="4" t="s">
        <v>369</v>
      </c>
      <c r="G136" s="5" t="s">
        <v>30</v>
      </c>
      <c r="H136" s="5" t="s">
        <v>56</v>
      </c>
      <c r="I136" s="19"/>
      <c r="J136" s="4"/>
    </row>
    <row r="137" spans="1:10" ht="15" customHeight="1" x14ac:dyDescent="0.3">
      <c r="A137" s="5">
        <v>136</v>
      </c>
      <c r="B137" s="5">
        <v>9</v>
      </c>
      <c r="C137" s="21" t="s">
        <v>339</v>
      </c>
      <c r="D137" s="4" t="s">
        <v>19</v>
      </c>
      <c r="E137" s="18">
        <v>144</v>
      </c>
      <c r="F137" s="4" t="s">
        <v>370</v>
      </c>
      <c r="G137" s="5" t="s">
        <v>30</v>
      </c>
      <c r="H137" s="5" t="s">
        <v>56</v>
      </c>
      <c r="I137" s="19"/>
      <c r="J137" s="4"/>
    </row>
    <row r="138" spans="1:10" ht="15" customHeight="1" x14ac:dyDescent="0.3">
      <c r="A138" s="5">
        <v>137</v>
      </c>
      <c r="B138" s="5">
        <v>9</v>
      </c>
      <c r="C138" s="21" t="s">
        <v>339</v>
      </c>
      <c r="D138" s="4" t="s">
        <v>19</v>
      </c>
      <c r="E138" s="18">
        <v>145</v>
      </c>
      <c r="F138" s="4" t="s">
        <v>371</v>
      </c>
      <c r="G138" s="5" t="s">
        <v>30</v>
      </c>
      <c r="H138" s="5" t="s">
        <v>56</v>
      </c>
      <c r="I138" s="19"/>
      <c r="J138" s="4"/>
    </row>
    <row r="139" spans="1:10" ht="15" customHeight="1" x14ac:dyDescent="0.3">
      <c r="A139" s="5">
        <v>138</v>
      </c>
      <c r="B139" s="5">
        <v>9</v>
      </c>
      <c r="C139" s="21" t="s">
        <v>339</v>
      </c>
      <c r="D139" s="4" t="s">
        <v>19</v>
      </c>
      <c r="E139" s="18">
        <v>110</v>
      </c>
      <c r="F139" s="4" t="s">
        <v>372</v>
      </c>
      <c r="G139" s="5" t="s">
        <v>30</v>
      </c>
      <c r="H139" s="5" t="s">
        <v>56</v>
      </c>
      <c r="I139" s="19"/>
      <c r="J139" s="4"/>
    </row>
    <row r="140" spans="1:10" ht="15" customHeight="1" x14ac:dyDescent="0.3">
      <c r="A140" s="5">
        <v>139</v>
      </c>
      <c r="B140" s="5">
        <v>9</v>
      </c>
      <c r="C140" s="21" t="s">
        <v>339</v>
      </c>
      <c r="D140" s="4" t="s">
        <v>19</v>
      </c>
      <c r="E140" s="18">
        <v>543</v>
      </c>
      <c r="F140" s="4" t="s">
        <v>373</v>
      </c>
      <c r="G140" s="5" t="s">
        <v>30</v>
      </c>
      <c r="H140" s="5" t="s">
        <v>56</v>
      </c>
      <c r="I140" s="19"/>
      <c r="J140" s="4"/>
    </row>
    <row r="141" spans="1:10" ht="15" customHeight="1" x14ac:dyDescent="0.3">
      <c r="A141" s="5">
        <v>140</v>
      </c>
      <c r="B141" s="5">
        <v>9</v>
      </c>
      <c r="C141" s="21" t="s">
        <v>339</v>
      </c>
      <c r="D141" s="4" t="s">
        <v>19</v>
      </c>
      <c r="E141" s="18">
        <v>112</v>
      </c>
      <c r="F141" s="4" t="s">
        <v>374</v>
      </c>
      <c r="G141" s="5" t="s">
        <v>30</v>
      </c>
      <c r="H141" s="5" t="s">
        <v>56</v>
      </c>
      <c r="I141" s="19"/>
      <c r="J141" s="4"/>
    </row>
    <row r="142" spans="1:10" ht="15" customHeight="1" x14ac:dyDescent="0.3">
      <c r="A142" s="5">
        <v>141</v>
      </c>
      <c r="B142" s="5">
        <v>9</v>
      </c>
      <c r="C142" s="21" t="s">
        <v>339</v>
      </c>
      <c r="D142" s="4" t="s">
        <v>19</v>
      </c>
      <c r="E142" s="18">
        <v>102</v>
      </c>
      <c r="F142" s="4" t="s">
        <v>375</v>
      </c>
      <c r="G142" s="5" t="s">
        <v>31</v>
      </c>
      <c r="H142" s="5" t="s">
        <v>56</v>
      </c>
      <c r="I142" s="19"/>
      <c r="J142" s="4"/>
    </row>
    <row r="143" spans="1:10" ht="15" customHeight="1" x14ac:dyDescent="0.3">
      <c r="A143" s="5">
        <v>142</v>
      </c>
      <c r="B143" s="5">
        <v>9</v>
      </c>
      <c r="C143" s="21" t="s">
        <v>339</v>
      </c>
      <c r="D143" s="4" t="s">
        <v>19</v>
      </c>
      <c r="E143" s="18">
        <v>199</v>
      </c>
      <c r="F143" s="4" t="s">
        <v>376</v>
      </c>
      <c r="G143" s="5" t="s">
        <v>31</v>
      </c>
      <c r="H143" s="5" t="s">
        <v>56</v>
      </c>
      <c r="I143" s="19"/>
      <c r="J143" s="4"/>
    </row>
    <row r="144" spans="1:10" ht="15" customHeight="1" x14ac:dyDescent="0.3">
      <c r="A144" s="5">
        <v>143</v>
      </c>
      <c r="B144" s="5">
        <v>9</v>
      </c>
      <c r="C144" s="21" t="s">
        <v>339</v>
      </c>
      <c r="D144" s="4" t="s">
        <v>19</v>
      </c>
      <c r="E144" s="18">
        <v>98</v>
      </c>
      <c r="F144" s="4" t="s">
        <v>377</v>
      </c>
      <c r="G144" s="5" t="s">
        <v>31</v>
      </c>
      <c r="H144" s="5" t="s">
        <v>56</v>
      </c>
      <c r="I144" s="19"/>
      <c r="J144" s="4"/>
    </row>
    <row r="145" spans="1:10" ht="15" customHeight="1" x14ac:dyDescent="0.3">
      <c r="A145" s="5">
        <v>144</v>
      </c>
      <c r="B145" s="5">
        <v>9</v>
      </c>
      <c r="C145" s="21" t="s">
        <v>339</v>
      </c>
      <c r="D145" s="4" t="s">
        <v>19</v>
      </c>
      <c r="E145" s="18">
        <v>230</v>
      </c>
      <c r="F145" s="4" t="s">
        <v>378</v>
      </c>
      <c r="G145" s="5" t="s">
        <v>31</v>
      </c>
      <c r="H145" s="5" t="s">
        <v>56</v>
      </c>
      <c r="I145" s="19"/>
      <c r="J145" s="4"/>
    </row>
    <row r="146" spans="1:10" ht="15" customHeight="1" x14ac:dyDescent="0.3">
      <c r="A146" s="5">
        <v>145</v>
      </c>
      <c r="B146" s="5">
        <v>9</v>
      </c>
      <c r="C146" s="21" t="s">
        <v>339</v>
      </c>
      <c r="D146" s="4" t="s">
        <v>19</v>
      </c>
      <c r="E146" s="18">
        <v>235</v>
      </c>
      <c r="F146" s="4" t="s">
        <v>379</v>
      </c>
      <c r="G146" s="5" t="s">
        <v>31</v>
      </c>
      <c r="H146" s="5" t="s">
        <v>56</v>
      </c>
      <c r="I146" s="19"/>
      <c r="J146" s="4"/>
    </row>
    <row r="147" spans="1:10" ht="15" customHeight="1" x14ac:dyDescent="0.3">
      <c r="A147" s="5">
        <v>146</v>
      </c>
      <c r="B147" s="5">
        <v>9</v>
      </c>
      <c r="C147" s="21" t="s">
        <v>339</v>
      </c>
      <c r="D147" s="4" t="s">
        <v>19</v>
      </c>
      <c r="E147" s="18">
        <v>236</v>
      </c>
      <c r="F147" s="4" t="s">
        <v>380</v>
      </c>
      <c r="G147" s="5" t="s">
        <v>31</v>
      </c>
      <c r="H147" s="5" t="s">
        <v>56</v>
      </c>
      <c r="I147" s="19"/>
      <c r="J147" s="4"/>
    </row>
    <row r="148" spans="1:10" ht="15" customHeight="1" x14ac:dyDescent="0.3">
      <c r="A148" s="5">
        <v>147</v>
      </c>
      <c r="B148" s="5">
        <v>9</v>
      </c>
      <c r="C148" s="21" t="s">
        <v>339</v>
      </c>
      <c r="D148" s="4" t="s">
        <v>19</v>
      </c>
      <c r="E148" s="18">
        <v>105</v>
      </c>
      <c r="F148" s="4" t="s">
        <v>381</v>
      </c>
      <c r="G148" s="5" t="s">
        <v>31</v>
      </c>
      <c r="H148" s="5" t="s">
        <v>56</v>
      </c>
      <c r="I148" s="19"/>
      <c r="J148" s="4"/>
    </row>
    <row r="149" spans="1:10" ht="15" customHeight="1" x14ac:dyDescent="0.3">
      <c r="A149" s="5">
        <v>148</v>
      </c>
      <c r="B149" s="5">
        <v>9</v>
      </c>
      <c r="C149" s="21" t="s">
        <v>339</v>
      </c>
      <c r="D149" s="4" t="s">
        <v>19</v>
      </c>
      <c r="E149" s="18">
        <v>114</v>
      </c>
      <c r="F149" s="4" t="s">
        <v>382</v>
      </c>
      <c r="G149" s="5" t="s">
        <v>31</v>
      </c>
      <c r="H149" s="5" t="s">
        <v>56</v>
      </c>
      <c r="I149" s="19"/>
      <c r="J149" s="4"/>
    </row>
    <row r="150" spans="1:10" ht="15" customHeight="1" x14ac:dyDescent="0.3">
      <c r="A150" s="5">
        <v>149</v>
      </c>
      <c r="B150" s="5">
        <v>9</v>
      </c>
      <c r="C150" s="21" t="s">
        <v>339</v>
      </c>
      <c r="D150" s="4" t="s">
        <v>19</v>
      </c>
      <c r="E150" s="18">
        <v>297</v>
      </c>
      <c r="F150" s="4" t="s">
        <v>383</v>
      </c>
      <c r="G150" s="5" t="s">
        <v>32</v>
      </c>
      <c r="H150" s="5" t="s">
        <v>56</v>
      </c>
      <c r="I150" s="19"/>
      <c r="J150" s="4"/>
    </row>
    <row r="151" spans="1:10" ht="15" customHeight="1" x14ac:dyDescent="0.3">
      <c r="A151" s="5">
        <v>150</v>
      </c>
      <c r="B151" s="5">
        <v>9</v>
      </c>
      <c r="C151" s="21" t="s">
        <v>339</v>
      </c>
      <c r="D151" s="4" t="s">
        <v>19</v>
      </c>
      <c r="E151" s="18">
        <v>124</v>
      </c>
      <c r="F151" s="4" t="s">
        <v>384</v>
      </c>
      <c r="G151" s="5" t="s">
        <v>32</v>
      </c>
      <c r="H151" s="5" t="s">
        <v>56</v>
      </c>
      <c r="I151" s="19"/>
      <c r="J151" s="4"/>
    </row>
    <row r="152" spans="1:10" ht="15" customHeight="1" x14ac:dyDescent="0.3">
      <c r="A152" s="5">
        <v>151</v>
      </c>
      <c r="B152" s="5">
        <v>11</v>
      </c>
      <c r="C152" s="21" t="s">
        <v>339</v>
      </c>
      <c r="D152" s="4" t="s">
        <v>20</v>
      </c>
      <c r="E152" s="18">
        <v>703</v>
      </c>
      <c r="F152" s="4" t="s">
        <v>385</v>
      </c>
      <c r="G152" s="5" t="s">
        <v>30</v>
      </c>
      <c r="H152" s="5" t="s">
        <v>56</v>
      </c>
      <c r="I152" s="19"/>
      <c r="J152" s="4"/>
    </row>
    <row r="153" spans="1:10" ht="15" customHeight="1" x14ac:dyDescent="0.3">
      <c r="A153" s="5">
        <v>152</v>
      </c>
      <c r="B153" s="5">
        <v>11</v>
      </c>
      <c r="C153" s="21" t="s">
        <v>339</v>
      </c>
      <c r="D153" s="4" t="s">
        <v>20</v>
      </c>
      <c r="E153" s="18">
        <v>1046</v>
      </c>
      <c r="F153" s="4" t="s">
        <v>386</v>
      </c>
      <c r="G153" s="5" t="s">
        <v>30</v>
      </c>
      <c r="H153" s="5" t="s">
        <v>56</v>
      </c>
      <c r="I153" s="19"/>
      <c r="J153" s="4"/>
    </row>
    <row r="154" spans="1:10" ht="15" customHeight="1" x14ac:dyDescent="0.3">
      <c r="A154" s="5">
        <v>153</v>
      </c>
      <c r="B154" s="5">
        <v>11</v>
      </c>
      <c r="C154" s="21" t="s">
        <v>339</v>
      </c>
      <c r="D154" s="4" t="s">
        <v>20</v>
      </c>
      <c r="E154" s="18">
        <v>973</v>
      </c>
      <c r="F154" s="4" t="s">
        <v>387</v>
      </c>
      <c r="G154" s="5" t="s">
        <v>31</v>
      </c>
      <c r="H154" s="5" t="s">
        <v>56</v>
      </c>
      <c r="I154" s="19"/>
      <c r="J154" s="4"/>
    </row>
    <row r="155" spans="1:10" ht="15" customHeight="1" x14ac:dyDescent="0.3">
      <c r="A155" s="5">
        <v>154</v>
      </c>
      <c r="B155" s="5">
        <v>11</v>
      </c>
      <c r="C155" s="21" t="s">
        <v>339</v>
      </c>
      <c r="D155" s="4" t="s">
        <v>20</v>
      </c>
      <c r="E155" s="18">
        <v>621</v>
      </c>
      <c r="F155" s="4" t="s">
        <v>388</v>
      </c>
      <c r="G155" s="5" t="s">
        <v>31</v>
      </c>
      <c r="H155" s="5" t="s">
        <v>56</v>
      </c>
      <c r="I155" s="19"/>
      <c r="J155" s="4"/>
    </row>
    <row r="156" spans="1:10" ht="15" customHeight="1" x14ac:dyDescent="0.3">
      <c r="A156" s="5">
        <v>155</v>
      </c>
      <c r="B156" s="5">
        <v>11</v>
      </c>
      <c r="C156" s="21" t="s">
        <v>339</v>
      </c>
      <c r="D156" s="4" t="s">
        <v>20</v>
      </c>
      <c r="E156" s="18">
        <v>295</v>
      </c>
      <c r="F156" s="4" t="s">
        <v>389</v>
      </c>
      <c r="G156" s="5" t="s">
        <v>32</v>
      </c>
      <c r="H156" s="5" t="s">
        <v>56</v>
      </c>
      <c r="I156" s="19"/>
      <c r="J156" s="4"/>
    </row>
    <row r="157" spans="1:10" ht="15" customHeight="1" x14ac:dyDescent="0.3">
      <c r="A157" s="5">
        <v>156</v>
      </c>
      <c r="B157" s="5">
        <v>11</v>
      </c>
      <c r="C157" s="21" t="s">
        <v>339</v>
      </c>
      <c r="D157" s="4" t="s">
        <v>21</v>
      </c>
      <c r="E157" s="18">
        <v>208</v>
      </c>
      <c r="F157" s="4" t="s">
        <v>390</v>
      </c>
      <c r="G157" s="5" t="s">
        <v>31</v>
      </c>
      <c r="H157" s="5" t="s">
        <v>56</v>
      </c>
      <c r="I157" s="19"/>
      <c r="J157" s="4"/>
    </row>
    <row r="158" spans="1:10" ht="15" customHeight="1" x14ac:dyDescent="0.3">
      <c r="A158" s="5">
        <v>157</v>
      </c>
      <c r="B158" s="5">
        <v>11</v>
      </c>
      <c r="C158" s="21" t="s">
        <v>339</v>
      </c>
      <c r="D158" s="4" t="s">
        <v>21</v>
      </c>
      <c r="E158" s="18">
        <v>211</v>
      </c>
      <c r="F158" s="4" t="s">
        <v>391</v>
      </c>
      <c r="G158" s="5" t="s">
        <v>31</v>
      </c>
      <c r="H158" s="5" t="s">
        <v>56</v>
      </c>
      <c r="I158" s="19"/>
      <c r="J158" s="4"/>
    </row>
    <row r="159" spans="1:10" ht="15" customHeight="1" x14ac:dyDescent="0.3">
      <c r="A159" s="5">
        <v>158</v>
      </c>
      <c r="B159" s="5">
        <v>11</v>
      </c>
      <c r="C159" s="21" t="s">
        <v>339</v>
      </c>
      <c r="D159" s="4" t="s">
        <v>21</v>
      </c>
      <c r="E159" s="18">
        <v>212</v>
      </c>
      <c r="F159" s="4" t="s">
        <v>392</v>
      </c>
      <c r="G159" s="5" t="s">
        <v>32</v>
      </c>
      <c r="H159" s="5" t="s">
        <v>56</v>
      </c>
      <c r="I159" s="19"/>
      <c r="J159" s="4"/>
    </row>
    <row r="160" spans="1:10" ht="15" customHeight="1" x14ac:dyDescent="0.3">
      <c r="A160" s="5">
        <v>159</v>
      </c>
      <c r="B160" s="5">
        <v>12</v>
      </c>
      <c r="C160" s="22" t="s">
        <v>393</v>
      </c>
      <c r="D160" s="4" t="s">
        <v>22</v>
      </c>
      <c r="E160" s="18">
        <v>733</v>
      </c>
      <c r="F160" s="4" t="s">
        <v>394</v>
      </c>
      <c r="G160" s="5" t="s">
        <v>30</v>
      </c>
      <c r="H160" s="5" t="s">
        <v>56</v>
      </c>
      <c r="I160" s="19"/>
      <c r="J160" s="4"/>
    </row>
    <row r="161" spans="1:10" ht="15" customHeight="1" x14ac:dyDescent="0.3">
      <c r="A161" s="5">
        <v>160</v>
      </c>
      <c r="B161" s="5">
        <v>12</v>
      </c>
      <c r="C161" s="22" t="s">
        <v>393</v>
      </c>
      <c r="D161" s="4" t="s">
        <v>22</v>
      </c>
      <c r="E161" s="18">
        <v>200</v>
      </c>
      <c r="F161" s="4" t="s">
        <v>395</v>
      </c>
      <c r="G161" s="5" t="s">
        <v>31</v>
      </c>
      <c r="H161" s="5" t="s">
        <v>56</v>
      </c>
      <c r="I161" s="19"/>
      <c r="J161" s="4"/>
    </row>
    <row r="162" spans="1:10" ht="15" customHeight="1" x14ac:dyDescent="0.3">
      <c r="A162" s="5">
        <v>161</v>
      </c>
      <c r="B162" s="5">
        <v>12</v>
      </c>
      <c r="C162" s="22" t="s">
        <v>393</v>
      </c>
      <c r="D162" s="4" t="s">
        <v>22</v>
      </c>
      <c r="E162" s="18">
        <v>695</v>
      </c>
      <c r="F162" s="4" t="s">
        <v>396</v>
      </c>
      <c r="G162" s="5" t="s">
        <v>31</v>
      </c>
      <c r="H162" s="5" t="s">
        <v>56</v>
      </c>
      <c r="I162" s="19"/>
      <c r="J162" s="4"/>
    </row>
    <row r="163" spans="1:10" ht="15" customHeight="1" x14ac:dyDescent="0.3">
      <c r="A163" s="5">
        <v>162</v>
      </c>
      <c r="B163" s="5">
        <v>12</v>
      </c>
      <c r="C163" s="22" t="s">
        <v>393</v>
      </c>
      <c r="D163" s="4" t="s">
        <v>22</v>
      </c>
      <c r="E163" s="18">
        <v>133</v>
      </c>
      <c r="F163" s="4" t="s">
        <v>397</v>
      </c>
      <c r="G163" s="5" t="s">
        <v>31</v>
      </c>
      <c r="H163" s="5" t="s">
        <v>56</v>
      </c>
      <c r="I163" s="19"/>
      <c r="J163" s="4"/>
    </row>
    <row r="164" spans="1:10" ht="15" customHeight="1" x14ac:dyDescent="0.3">
      <c r="A164" s="5">
        <v>163</v>
      </c>
      <c r="B164" s="5">
        <v>12</v>
      </c>
      <c r="C164" s="22" t="s">
        <v>393</v>
      </c>
      <c r="D164" s="4" t="s">
        <v>22</v>
      </c>
      <c r="E164" s="18">
        <v>547</v>
      </c>
      <c r="F164" s="4" t="s">
        <v>398</v>
      </c>
      <c r="G164" s="5" t="s">
        <v>31</v>
      </c>
      <c r="H164" s="5" t="s">
        <v>56</v>
      </c>
      <c r="I164" s="19"/>
      <c r="J164" s="4"/>
    </row>
    <row r="165" spans="1:10" ht="15" customHeight="1" x14ac:dyDescent="0.3">
      <c r="A165" s="5">
        <v>164</v>
      </c>
      <c r="B165" s="5">
        <v>12</v>
      </c>
      <c r="C165" s="22" t="s">
        <v>393</v>
      </c>
      <c r="D165" s="4" t="s">
        <v>22</v>
      </c>
      <c r="E165" s="18">
        <v>994</v>
      </c>
      <c r="F165" s="4" t="s">
        <v>399</v>
      </c>
      <c r="G165" s="5" t="s">
        <v>31</v>
      </c>
      <c r="H165" s="5" t="s">
        <v>56</v>
      </c>
      <c r="I165" s="19"/>
      <c r="J165" s="4"/>
    </row>
    <row r="166" spans="1:10" ht="15" customHeight="1" x14ac:dyDescent="0.3">
      <c r="A166" s="5">
        <v>165</v>
      </c>
      <c r="B166" s="5">
        <v>12</v>
      </c>
      <c r="C166" s="22" t="s">
        <v>393</v>
      </c>
      <c r="D166" s="4" t="s">
        <v>22</v>
      </c>
      <c r="E166" s="18">
        <v>417</v>
      </c>
      <c r="F166" s="4" t="s">
        <v>400</v>
      </c>
      <c r="G166" s="5" t="s">
        <v>31</v>
      </c>
      <c r="H166" s="5" t="s">
        <v>56</v>
      </c>
      <c r="I166" s="19"/>
      <c r="J166" s="4"/>
    </row>
    <row r="167" spans="1:10" ht="15" customHeight="1" x14ac:dyDescent="0.3">
      <c r="A167" s="5">
        <v>166</v>
      </c>
      <c r="B167" s="5">
        <v>12</v>
      </c>
      <c r="C167" s="22" t="s">
        <v>393</v>
      </c>
      <c r="D167" s="4" t="s">
        <v>22</v>
      </c>
      <c r="E167" s="18">
        <v>207</v>
      </c>
      <c r="F167" s="4" t="s">
        <v>401</v>
      </c>
      <c r="G167" s="5" t="s">
        <v>31</v>
      </c>
      <c r="H167" s="5" t="s">
        <v>56</v>
      </c>
      <c r="I167" s="19"/>
      <c r="J167" s="4"/>
    </row>
    <row r="168" spans="1:10" ht="15" customHeight="1" x14ac:dyDescent="0.3">
      <c r="A168" s="5">
        <v>167</v>
      </c>
      <c r="B168" s="5">
        <v>12</v>
      </c>
      <c r="C168" s="22" t="s">
        <v>393</v>
      </c>
      <c r="D168" s="4" t="s">
        <v>22</v>
      </c>
      <c r="E168" s="18">
        <v>210</v>
      </c>
      <c r="F168" s="4" t="s">
        <v>402</v>
      </c>
      <c r="G168" s="5" t="s">
        <v>31</v>
      </c>
      <c r="H168" s="5" t="s">
        <v>56</v>
      </c>
      <c r="I168" s="19"/>
      <c r="J168" s="4"/>
    </row>
    <row r="169" spans="1:10" ht="15" customHeight="1" x14ac:dyDescent="0.3">
      <c r="A169" s="5">
        <v>168</v>
      </c>
      <c r="B169" s="5">
        <v>12</v>
      </c>
      <c r="C169" s="22" t="s">
        <v>393</v>
      </c>
      <c r="D169" s="4" t="s">
        <v>22</v>
      </c>
      <c r="E169" s="18">
        <v>127</v>
      </c>
      <c r="F169" s="4" t="s">
        <v>403</v>
      </c>
      <c r="G169" s="5" t="s">
        <v>32</v>
      </c>
      <c r="H169" s="5" t="s">
        <v>56</v>
      </c>
      <c r="I169" s="19"/>
      <c r="J169" s="4"/>
    </row>
    <row r="170" spans="1:10" ht="15" customHeight="1" x14ac:dyDescent="0.3">
      <c r="A170" s="5">
        <v>169</v>
      </c>
      <c r="B170" s="5">
        <v>12</v>
      </c>
      <c r="C170" s="22" t="s">
        <v>393</v>
      </c>
      <c r="D170" s="4" t="s">
        <v>23</v>
      </c>
      <c r="E170" s="18">
        <v>684</v>
      </c>
      <c r="F170" s="4" t="s">
        <v>404</v>
      </c>
      <c r="G170" s="5" t="s">
        <v>31</v>
      </c>
      <c r="H170" s="5" t="s">
        <v>56</v>
      </c>
      <c r="I170" s="19"/>
      <c r="J170" s="4"/>
    </row>
    <row r="171" spans="1:10" ht="15" customHeight="1" x14ac:dyDescent="0.3">
      <c r="A171" s="5">
        <v>170</v>
      </c>
      <c r="B171" s="5">
        <v>12</v>
      </c>
      <c r="C171" s="22" t="s">
        <v>393</v>
      </c>
      <c r="D171" s="4" t="s">
        <v>23</v>
      </c>
      <c r="E171" s="18">
        <v>743</v>
      </c>
      <c r="F171" s="4" t="s">
        <v>405</v>
      </c>
      <c r="G171" s="5" t="s">
        <v>31</v>
      </c>
      <c r="H171" s="5" t="s">
        <v>56</v>
      </c>
      <c r="I171" s="19"/>
      <c r="J171" s="4"/>
    </row>
    <row r="172" spans="1:10" ht="15" customHeight="1" x14ac:dyDescent="0.3">
      <c r="A172" s="5">
        <v>171</v>
      </c>
      <c r="B172" s="5">
        <v>12</v>
      </c>
      <c r="C172" s="22" t="s">
        <v>393</v>
      </c>
      <c r="D172" s="4" t="s">
        <v>23</v>
      </c>
      <c r="E172" s="18">
        <v>787</v>
      </c>
      <c r="F172" s="4" t="s">
        <v>406</v>
      </c>
      <c r="G172" s="5" t="s">
        <v>31</v>
      </c>
      <c r="H172" s="5" t="s">
        <v>56</v>
      </c>
      <c r="I172" s="19"/>
      <c r="J172" s="4"/>
    </row>
    <row r="173" spans="1:10" ht="15" customHeight="1" x14ac:dyDescent="0.3">
      <c r="A173" s="5">
        <v>172</v>
      </c>
      <c r="B173" s="5">
        <v>12</v>
      </c>
      <c r="C173" s="22" t="s">
        <v>393</v>
      </c>
      <c r="D173" s="4" t="s">
        <v>23</v>
      </c>
      <c r="E173" s="18">
        <v>1584</v>
      </c>
      <c r="F173" s="4" t="s">
        <v>407</v>
      </c>
      <c r="G173" s="5" t="s">
        <v>31</v>
      </c>
      <c r="H173" s="5" t="s">
        <v>56</v>
      </c>
      <c r="I173" s="19"/>
      <c r="J173" s="4"/>
    </row>
    <row r="174" spans="1:10" ht="15" customHeight="1" x14ac:dyDescent="0.3">
      <c r="A174" s="5">
        <v>173</v>
      </c>
      <c r="B174" s="5">
        <v>12</v>
      </c>
      <c r="C174" s="22" t="s">
        <v>393</v>
      </c>
      <c r="D174" s="4" t="s">
        <v>23</v>
      </c>
      <c r="E174" s="18">
        <v>778</v>
      </c>
      <c r="F174" s="4" t="s">
        <v>408</v>
      </c>
      <c r="G174" s="5" t="s">
        <v>32</v>
      </c>
      <c r="H174" s="5" t="s">
        <v>56</v>
      </c>
      <c r="I174" s="19"/>
      <c r="J174" s="4"/>
    </row>
    <row r="175" spans="1:10" ht="15" customHeight="1" x14ac:dyDescent="0.3">
      <c r="A175" s="5">
        <v>174</v>
      </c>
      <c r="B175" s="5">
        <v>13</v>
      </c>
      <c r="C175" s="22" t="s">
        <v>393</v>
      </c>
      <c r="D175" s="4" t="s">
        <v>24</v>
      </c>
      <c r="E175" s="18">
        <v>455</v>
      </c>
      <c r="F175" s="4" t="s">
        <v>409</v>
      </c>
      <c r="G175" s="5" t="s">
        <v>30</v>
      </c>
      <c r="H175" s="5" t="s">
        <v>56</v>
      </c>
      <c r="I175" s="19"/>
      <c r="J175" s="4"/>
    </row>
    <row r="176" spans="1:10" ht="15" customHeight="1" x14ac:dyDescent="0.3">
      <c r="A176" s="5">
        <v>175</v>
      </c>
      <c r="B176" s="5">
        <v>13</v>
      </c>
      <c r="C176" s="22" t="s">
        <v>393</v>
      </c>
      <c r="D176" s="4" t="s">
        <v>24</v>
      </c>
      <c r="E176" s="18">
        <v>860</v>
      </c>
      <c r="F176" s="4" t="s">
        <v>410</v>
      </c>
      <c r="G176" s="5" t="s">
        <v>30</v>
      </c>
      <c r="H176" s="5" t="s">
        <v>56</v>
      </c>
      <c r="I176" s="19"/>
      <c r="J176" s="4"/>
    </row>
    <row r="177" spans="1:10" ht="15" customHeight="1" x14ac:dyDescent="0.3">
      <c r="A177" s="5">
        <v>176</v>
      </c>
      <c r="B177" s="5">
        <v>13</v>
      </c>
      <c r="C177" s="22" t="s">
        <v>393</v>
      </c>
      <c r="D177" s="4" t="s">
        <v>24</v>
      </c>
      <c r="E177" s="18">
        <v>122</v>
      </c>
      <c r="F177" s="4" t="s">
        <v>411</v>
      </c>
      <c r="G177" s="5" t="s">
        <v>31</v>
      </c>
      <c r="H177" s="5" t="s">
        <v>56</v>
      </c>
      <c r="I177" s="19"/>
      <c r="J177" s="4"/>
    </row>
    <row r="178" spans="1:10" ht="15" customHeight="1" x14ac:dyDescent="0.3">
      <c r="A178" s="5">
        <v>177</v>
      </c>
      <c r="B178" s="5">
        <v>13</v>
      </c>
      <c r="C178" s="22" t="s">
        <v>393</v>
      </c>
      <c r="D178" s="4" t="s">
        <v>24</v>
      </c>
      <c r="E178" s="18">
        <v>55</v>
      </c>
      <c r="F178" s="4" t="s">
        <v>412</v>
      </c>
      <c r="G178" s="5" t="s">
        <v>31</v>
      </c>
      <c r="H178" s="5" t="s">
        <v>56</v>
      </c>
      <c r="I178" s="19"/>
      <c r="J178" s="4"/>
    </row>
    <row r="179" spans="1:10" ht="15" customHeight="1" x14ac:dyDescent="0.3">
      <c r="A179" s="5">
        <v>178</v>
      </c>
      <c r="B179" s="5">
        <v>13</v>
      </c>
      <c r="C179" s="22" t="s">
        <v>393</v>
      </c>
      <c r="D179" s="4" t="s">
        <v>24</v>
      </c>
      <c r="E179" s="18">
        <v>45</v>
      </c>
      <c r="F179" s="4" t="s">
        <v>413</v>
      </c>
      <c r="G179" s="5" t="s">
        <v>31</v>
      </c>
      <c r="H179" s="5" t="s">
        <v>56</v>
      </c>
      <c r="I179" s="19"/>
      <c r="J179" s="4"/>
    </row>
    <row r="180" spans="1:10" ht="15" customHeight="1" x14ac:dyDescent="0.3">
      <c r="A180" s="5">
        <v>179</v>
      </c>
      <c r="B180" s="5">
        <v>13</v>
      </c>
      <c r="C180" s="22" t="s">
        <v>393</v>
      </c>
      <c r="D180" s="4" t="s">
        <v>24</v>
      </c>
      <c r="E180" s="18">
        <v>134</v>
      </c>
      <c r="F180" s="4" t="s">
        <v>414</v>
      </c>
      <c r="G180" s="5" t="s">
        <v>31</v>
      </c>
      <c r="H180" s="5" t="s">
        <v>56</v>
      </c>
      <c r="I180" s="19"/>
      <c r="J180" s="4"/>
    </row>
    <row r="181" spans="1:10" ht="15" customHeight="1" x14ac:dyDescent="0.3">
      <c r="A181" s="5">
        <v>180</v>
      </c>
      <c r="B181" s="5">
        <v>13</v>
      </c>
      <c r="C181" s="22" t="s">
        <v>393</v>
      </c>
      <c r="D181" s="4" t="s">
        <v>24</v>
      </c>
      <c r="E181" s="18">
        <v>435</v>
      </c>
      <c r="F181" s="4" t="s">
        <v>415</v>
      </c>
      <c r="G181" s="5" t="s">
        <v>31</v>
      </c>
      <c r="H181" s="5" t="s">
        <v>56</v>
      </c>
      <c r="I181" s="19"/>
      <c r="J181" s="4"/>
    </row>
    <row r="182" spans="1:10" ht="15" customHeight="1" x14ac:dyDescent="0.3">
      <c r="A182" s="5">
        <v>181</v>
      </c>
      <c r="B182" s="5">
        <v>13</v>
      </c>
      <c r="C182" s="22" t="s">
        <v>393</v>
      </c>
      <c r="D182" s="4" t="s">
        <v>24</v>
      </c>
      <c r="E182" s="18">
        <v>763</v>
      </c>
      <c r="F182" s="4" t="s">
        <v>416</v>
      </c>
      <c r="G182" s="5" t="s">
        <v>31</v>
      </c>
      <c r="H182" s="5" t="s">
        <v>56</v>
      </c>
      <c r="I182" s="19"/>
      <c r="J182" s="4"/>
    </row>
    <row r="183" spans="1:10" ht="15" customHeight="1" x14ac:dyDescent="0.3">
      <c r="A183" s="5">
        <v>182</v>
      </c>
      <c r="B183" s="5">
        <v>13</v>
      </c>
      <c r="C183" s="22" t="s">
        <v>393</v>
      </c>
      <c r="D183" s="4" t="s">
        <v>24</v>
      </c>
      <c r="E183" s="18">
        <v>135</v>
      </c>
      <c r="F183" s="4" t="s">
        <v>417</v>
      </c>
      <c r="G183" s="5" t="s">
        <v>32</v>
      </c>
      <c r="H183" s="5" t="s">
        <v>56</v>
      </c>
      <c r="I183" s="19"/>
      <c r="J183" s="4"/>
    </row>
    <row r="184" spans="1:10" ht="15" customHeight="1" x14ac:dyDescent="0.3">
      <c r="A184" s="5">
        <v>183</v>
      </c>
      <c r="B184" s="5">
        <v>14</v>
      </c>
      <c r="C184" s="22" t="s">
        <v>393</v>
      </c>
      <c r="D184" s="4" t="s">
        <v>25</v>
      </c>
      <c r="E184" s="18">
        <v>70</v>
      </c>
      <c r="F184" s="4" t="s">
        <v>418</v>
      </c>
      <c r="G184" s="5" t="s">
        <v>30</v>
      </c>
      <c r="H184" s="5" t="s">
        <v>56</v>
      </c>
      <c r="I184" s="19"/>
      <c r="J184" s="4"/>
    </row>
    <row r="185" spans="1:10" ht="15" customHeight="1" x14ac:dyDescent="0.3">
      <c r="A185" s="5">
        <v>184</v>
      </c>
      <c r="B185" s="5">
        <v>14</v>
      </c>
      <c r="C185" s="22" t="s">
        <v>393</v>
      </c>
      <c r="D185" s="4" t="s">
        <v>25</v>
      </c>
      <c r="E185" s="18">
        <v>746</v>
      </c>
      <c r="F185" s="4" t="s">
        <v>419</v>
      </c>
      <c r="G185" s="5" t="s">
        <v>30</v>
      </c>
      <c r="H185" s="5" t="s">
        <v>56</v>
      </c>
      <c r="I185" s="19"/>
      <c r="J185" s="4"/>
    </row>
    <row r="186" spans="1:10" ht="15" customHeight="1" x14ac:dyDescent="0.3">
      <c r="A186" s="5">
        <v>185</v>
      </c>
      <c r="B186" s="5">
        <v>14</v>
      </c>
      <c r="C186" s="22" t="s">
        <v>393</v>
      </c>
      <c r="D186" s="4" t="s">
        <v>25</v>
      </c>
      <c r="E186" s="18">
        <v>198</v>
      </c>
      <c r="F186" s="4" t="s">
        <v>420</v>
      </c>
      <c r="G186" s="5" t="s">
        <v>31</v>
      </c>
      <c r="H186" s="5" t="s">
        <v>56</v>
      </c>
      <c r="I186" s="19"/>
      <c r="J186" s="4"/>
    </row>
    <row r="187" spans="1:10" ht="15" customHeight="1" x14ac:dyDescent="0.3">
      <c r="A187" s="5">
        <v>186</v>
      </c>
      <c r="B187" s="5">
        <v>14</v>
      </c>
      <c r="C187" s="22" t="s">
        <v>393</v>
      </c>
      <c r="D187" s="4" t="s">
        <v>25</v>
      </c>
      <c r="E187" s="18">
        <v>213</v>
      </c>
      <c r="F187" s="4" t="s">
        <v>421</v>
      </c>
      <c r="G187" s="5" t="s">
        <v>31</v>
      </c>
      <c r="H187" s="5" t="s">
        <v>56</v>
      </c>
      <c r="I187" s="19"/>
      <c r="J187" s="4"/>
    </row>
    <row r="188" spans="1:10" ht="15" customHeight="1" x14ac:dyDescent="0.3">
      <c r="A188" s="5">
        <v>187</v>
      </c>
      <c r="B188" s="5">
        <v>14</v>
      </c>
      <c r="C188" s="22" t="s">
        <v>393</v>
      </c>
      <c r="D188" s="4" t="s">
        <v>25</v>
      </c>
      <c r="E188" s="18">
        <v>322</v>
      </c>
      <c r="F188" s="4" t="s">
        <v>422</v>
      </c>
      <c r="G188" s="5" t="s">
        <v>31</v>
      </c>
      <c r="H188" s="5" t="s">
        <v>56</v>
      </c>
      <c r="I188" s="19"/>
      <c r="J188" s="4"/>
    </row>
    <row r="189" spans="1:10" ht="15" customHeight="1" x14ac:dyDescent="0.3">
      <c r="A189" s="5">
        <v>188</v>
      </c>
      <c r="B189" s="5">
        <v>14</v>
      </c>
      <c r="C189" s="22" t="s">
        <v>393</v>
      </c>
      <c r="D189" s="4" t="s">
        <v>25</v>
      </c>
      <c r="E189" s="18">
        <v>300</v>
      </c>
      <c r="F189" s="4" t="s">
        <v>423</v>
      </c>
      <c r="G189" s="5" t="s">
        <v>31</v>
      </c>
      <c r="H189" s="5" t="s">
        <v>56</v>
      </c>
      <c r="I189" s="19"/>
      <c r="J189" s="4"/>
    </row>
    <row r="190" spans="1:10" ht="15" customHeight="1" x14ac:dyDescent="0.3">
      <c r="A190" s="5">
        <v>189</v>
      </c>
      <c r="B190" s="5">
        <v>14</v>
      </c>
      <c r="C190" s="22" t="s">
        <v>393</v>
      </c>
      <c r="D190" s="4" t="s">
        <v>25</v>
      </c>
      <c r="E190" s="18">
        <v>139</v>
      </c>
      <c r="F190" s="4" t="s">
        <v>424</v>
      </c>
      <c r="G190" s="5" t="s">
        <v>31</v>
      </c>
      <c r="H190" s="5" t="s">
        <v>56</v>
      </c>
      <c r="I190" s="19"/>
      <c r="J190" s="4"/>
    </row>
    <row r="191" spans="1:10" ht="15" customHeight="1" x14ac:dyDescent="0.3">
      <c r="A191" s="5">
        <v>190</v>
      </c>
      <c r="B191" s="5">
        <v>15</v>
      </c>
      <c r="C191" s="22" t="s">
        <v>393</v>
      </c>
      <c r="D191" s="4" t="s">
        <v>25</v>
      </c>
      <c r="E191" s="18">
        <v>62</v>
      </c>
      <c r="F191" s="4" t="s">
        <v>425</v>
      </c>
      <c r="G191" s="5" t="s">
        <v>31</v>
      </c>
      <c r="H191" s="5" t="s">
        <v>56</v>
      </c>
      <c r="I191" s="19"/>
      <c r="J191" s="4"/>
    </row>
    <row r="192" spans="1:10" ht="15" customHeight="1" x14ac:dyDescent="0.3">
      <c r="A192" s="5">
        <v>191</v>
      </c>
      <c r="B192" s="5">
        <v>15</v>
      </c>
      <c r="C192" s="22" t="s">
        <v>393</v>
      </c>
      <c r="D192" s="4" t="s">
        <v>25</v>
      </c>
      <c r="E192" s="18">
        <v>64</v>
      </c>
      <c r="F192" s="4" t="s">
        <v>426</v>
      </c>
      <c r="G192" s="5" t="s">
        <v>31</v>
      </c>
      <c r="H192" s="5" t="s">
        <v>56</v>
      </c>
      <c r="I192" s="19"/>
      <c r="J192" s="4"/>
    </row>
    <row r="193" spans="1:10" ht="15" customHeight="1" x14ac:dyDescent="0.3">
      <c r="A193" s="5">
        <v>192</v>
      </c>
      <c r="B193" s="5">
        <v>15</v>
      </c>
      <c r="C193" s="22" t="s">
        <v>393</v>
      </c>
      <c r="D193" s="4" t="s">
        <v>25</v>
      </c>
      <c r="E193" s="18">
        <v>152</v>
      </c>
      <c r="F193" s="4" t="s">
        <v>427</v>
      </c>
      <c r="G193" s="5" t="s">
        <v>31</v>
      </c>
      <c r="H193" s="5" t="s">
        <v>56</v>
      </c>
      <c r="I193" s="19"/>
      <c r="J193" s="4"/>
    </row>
    <row r="194" spans="1:10" ht="15" customHeight="1" x14ac:dyDescent="0.3">
      <c r="A194" s="5">
        <v>193</v>
      </c>
      <c r="B194" s="5">
        <v>15</v>
      </c>
      <c r="C194" s="22" t="s">
        <v>393</v>
      </c>
      <c r="D194" s="4" t="s">
        <v>25</v>
      </c>
      <c r="E194" s="18">
        <v>416</v>
      </c>
      <c r="F194" s="4" t="s">
        <v>428</v>
      </c>
      <c r="G194" s="5" t="s">
        <v>31</v>
      </c>
      <c r="H194" s="5" t="s">
        <v>56</v>
      </c>
      <c r="I194" s="19"/>
      <c r="J194" s="4"/>
    </row>
    <row r="195" spans="1:10" ht="15" customHeight="1" x14ac:dyDescent="0.3">
      <c r="A195" s="5">
        <v>194</v>
      </c>
      <c r="B195" s="5">
        <v>15</v>
      </c>
      <c r="C195" s="22" t="s">
        <v>393</v>
      </c>
      <c r="D195" s="4" t="s">
        <v>25</v>
      </c>
      <c r="E195" s="18">
        <v>494</v>
      </c>
      <c r="F195" s="4" t="s">
        <v>429</v>
      </c>
      <c r="G195" s="5" t="s">
        <v>31</v>
      </c>
      <c r="H195" s="5" t="s">
        <v>56</v>
      </c>
      <c r="I195" s="19"/>
      <c r="J195" s="4"/>
    </row>
    <row r="196" spans="1:10" ht="15" customHeight="1" x14ac:dyDescent="0.3">
      <c r="A196" s="5">
        <v>195</v>
      </c>
      <c r="B196" s="5">
        <v>15</v>
      </c>
      <c r="C196" s="22" t="s">
        <v>393</v>
      </c>
      <c r="D196" s="4" t="s">
        <v>25</v>
      </c>
      <c r="E196" s="18">
        <v>1143</v>
      </c>
      <c r="F196" s="4" t="s">
        <v>430</v>
      </c>
      <c r="G196" s="5" t="s">
        <v>31</v>
      </c>
      <c r="H196" s="5" t="s">
        <v>56</v>
      </c>
      <c r="I196" s="19"/>
      <c r="J196" s="4"/>
    </row>
    <row r="197" spans="1:10" ht="15" customHeight="1" x14ac:dyDescent="0.3">
      <c r="A197" s="5">
        <v>196</v>
      </c>
      <c r="B197" s="5">
        <v>15</v>
      </c>
      <c r="C197" s="22" t="s">
        <v>393</v>
      </c>
      <c r="D197" s="4" t="s">
        <v>25</v>
      </c>
      <c r="E197" s="18">
        <v>72</v>
      </c>
      <c r="F197" s="4" t="s">
        <v>431</v>
      </c>
      <c r="G197" s="5" t="s">
        <v>31</v>
      </c>
      <c r="H197" s="5" t="s">
        <v>56</v>
      </c>
      <c r="I197" s="19"/>
      <c r="J197" s="4"/>
    </row>
    <row r="198" spans="1:10" ht="15" customHeight="1" x14ac:dyDescent="0.3">
      <c r="A198" s="5">
        <v>197</v>
      </c>
      <c r="B198" s="5">
        <v>15</v>
      </c>
      <c r="C198" s="22" t="s">
        <v>393</v>
      </c>
      <c r="D198" s="4" t="s">
        <v>25</v>
      </c>
      <c r="E198" s="18">
        <v>10</v>
      </c>
      <c r="F198" s="4" t="s">
        <v>432</v>
      </c>
      <c r="G198" s="5" t="s">
        <v>32</v>
      </c>
      <c r="H198" s="5" t="s">
        <v>56</v>
      </c>
      <c r="I198" s="19"/>
      <c r="J198" s="4"/>
    </row>
    <row r="199" spans="1:10" ht="15" customHeight="1" x14ac:dyDescent="0.3">
      <c r="A199" s="5">
        <v>198</v>
      </c>
      <c r="B199" s="5">
        <v>15</v>
      </c>
      <c r="C199" s="22" t="s">
        <v>393</v>
      </c>
      <c r="D199" s="4" t="s">
        <v>25</v>
      </c>
      <c r="E199" s="18">
        <v>312</v>
      </c>
      <c r="F199" s="4" t="s">
        <v>433</v>
      </c>
      <c r="G199" s="5" t="s">
        <v>32</v>
      </c>
      <c r="H199" s="5" t="s">
        <v>56</v>
      </c>
      <c r="I199" s="19"/>
      <c r="J199" s="4"/>
    </row>
    <row r="200" spans="1:10" ht="15" customHeight="1" x14ac:dyDescent="0.3">
      <c r="A200" s="5">
        <v>199</v>
      </c>
      <c r="B200" s="5">
        <v>13</v>
      </c>
      <c r="C200" s="22" t="s">
        <v>393</v>
      </c>
      <c r="D200" s="4" t="s">
        <v>26</v>
      </c>
      <c r="E200" s="18">
        <v>191</v>
      </c>
      <c r="F200" s="4" t="s">
        <v>434</v>
      </c>
      <c r="G200" s="5" t="s">
        <v>30</v>
      </c>
      <c r="H200" s="5" t="s">
        <v>56</v>
      </c>
      <c r="I200" s="19"/>
      <c r="J200" s="4"/>
    </row>
    <row r="201" spans="1:10" ht="15" customHeight="1" x14ac:dyDescent="0.3">
      <c r="A201" s="5">
        <v>200</v>
      </c>
      <c r="B201" s="5">
        <v>13</v>
      </c>
      <c r="C201" s="22" t="s">
        <v>393</v>
      </c>
      <c r="D201" s="4" t="s">
        <v>26</v>
      </c>
      <c r="E201" s="18">
        <v>231</v>
      </c>
      <c r="F201" s="4" t="s">
        <v>435</v>
      </c>
      <c r="G201" s="5" t="s">
        <v>30</v>
      </c>
      <c r="H201" s="5" t="s">
        <v>56</v>
      </c>
      <c r="I201" s="19"/>
      <c r="J201" s="4"/>
    </row>
    <row r="202" spans="1:10" ht="15" customHeight="1" x14ac:dyDescent="0.3">
      <c r="A202" s="5">
        <v>201</v>
      </c>
      <c r="B202" s="5">
        <v>13</v>
      </c>
      <c r="C202" s="22" t="s">
        <v>393</v>
      </c>
      <c r="D202" s="4" t="s">
        <v>26</v>
      </c>
      <c r="E202" s="18">
        <v>338</v>
      </c>
      <c r="F202" s="4" t="s">
        <v>436</v>
      </c>
      <c r="G202" s="5" t="s">
        <v>30</v>
      </c>
      <c r="H202" s="5" t="s">
        <v>56</v>
      </c>
      <c r="I202" s="19"/>
      <c r="J202" s="4"/>
    </row>
    <row r="203" spans="1:10" ht="15" customHeight="1" x14ac:dyDescent="0.3">
      <c r="A203" s="5">
        <v>202</v>
      </c>
      <c r="B203" s="5">
        <v>13</v>
      </c>
      <c r="C203" s="22" t="s">
        <v>393</v>
      </c>
      <c r="D203" s="4" t="s">
        <v>26</v>
      </c>
      <c r="E203" s="18">
        <v>268</v>
      </c>
      <c r="F203" s="4" t="s">
        <v>437</v>
      </c>
      <c r="G203" s="5" t="s">
        <v>30</v>
      </c>
      <c r="H203" s="5" t="s">
        <v>56</v>
      </c>
      <c r="I203" s="19"/>
      <c r="J203" s="4"/>
    </row>
    <row r="204" spans="1:10" ht="15" customHeight="1" x14ac:dyDescent="0.3">
      <c r="A204" s="5">
        <v>203</v>
      </c>
      <c r="B204" s="5">
        <v>13</v>
      </c>
      <c r="C204" s="22" t="s">
        <v>393</v>
      </c>
      <c r="D204" s="4" t="s">
        <v>26</v>
      </c>
      <c r="E204" s="18">
        <v>371</v>
      </c>
      <c r="F204" s="4" t="s">
        <v>438</v>
      </c>
      <c r="G204" s="5" t="s">
        <v>31</v>
      </c>
      <c r="H204" s="5" t="s">
        <v>56</v>
      </c>
      <c r="I204" s="19"/>
      <c r="J204" s="4"/>
    </row>
    <row r="205" spans="1:10" ht="15" customHeight="1" x14ac:dyDescent="0.3">
      <c r="A205" s="5">
        <v>204</v>
      </c>
      <c r="B205" s="5">
        <v>13</v>
      </c>
      <c r="C205" s="22" t="s">
        <v>393</v>
      </c>
      <c r="D205" s="4" t="s">
        <v>26</v>
      </c>
      <c r="E205" s="18">
        <v>201</v>
      </c>
      <c r="F205" s="4" t="s">
        <v>439</v>
      </c>
      <c r="G205" s="5" t="s">
        <v>31</v>
      </c>
      <c r="H205" s="5" t="s">
        <v>56</v>
      </c>
      <c r="I205" s="19"/>
      <c r="J205" s="4"/>
    </row>
    <row r="206" spans="1:10" ht="15" customHeight="1" x14ac:dyDescent="0.3">
      <c r="A206" s="5">
        <v>205</v>
      </c>
      <c r="B206" s="5">
        <v>16</v>
      </c>
      <c r="C206" s="22" t="s">
        <v>393</v>
      </c>
      <c r="D206" s="4" t="s">
        <v>27</v>
      </c>
      <c r="E206" s="18">
        <v>307</v>
      </c>
      <c r="F206" s="4" t="s">
        <v>440</v>
      </c>
      <c r="G206" s="5" t="s">
        <v>31</v>
      </c>
      <c r="H206" s="5" t="s">
        <v>56</v>
      </c>
      <c r="I206" s="19"/>
      <c r="J206" s="4"/>
    </row>
    <row r="207" spans="1:10" ht="15" customHeight="1" x14ac:dyDescent="0.3">
      <c r="A207" s="5">
        <v>206</v>
      </c>
      <c r="B207" s="5">
        <v>16</v>
      </c>
      <c r="C207" s="22" t="s">
        <v>393</v>
      </c>
      <c r="D207" s="4" t="s">
        <v>27</v>
      </c>
      <c r="E207" s="18">
        <v>315</v>
      </c>
      <c r="F207" s="4" t="s">
        <v>441</v>
      </c>
      <c r="G207" s="5" t="s">
        <v>32</v>
      </c>
      <c r="H207" s="5" t="s">
        <v>56</v>
      </c>
      <c r="I207" s="19"/>
      <c r="J207" s="4"/>
    </row>
    <row r="208" spans="1:10" ht="15" customHeight="1" x14ac:dyDescent="0.3">
      <c r="A208" s="5">
        <v>207</v>
      </c>
      <c r="B208" s="5">
        <v>16</v>
      </c>
      <c r="C208" s="22" t="s">
        <v>393</v>
      </c>
      <c r="D208" s="4" t="s">
        <v>27</v>
      </c>
      <c r="E208" s="18">
        <v>1235</v>
      </c>
      <c r="F208" s="4" t="s">
        <v>442</v>
      </c>
      <c r="G208" s="5" t="s">
        <v>32</v>
      </c>
      <c r="H208" s="5" t="s">
        <v>56</v>
      </c>
      <c r="I208" s="19"/>
      <c r="J208" s="4"/>
    </row>
    <row r="209" spans="1:10" ht="15" customHeight="1" x14ac:dyDescent="0.3">
      <c r="A209" s="5">
        <v>208</v>
      </c>
      <c r="B209" s="5">
        <v>16</v>
      </c>
      <c r="C209" s="22" t="s">
        <v>393</v>
      </c>
      <c r="D209" s="4" t="s">
        <v>27</v>
      </c>
      <c r="E209" s="18">
        <v>887</v>
      </c>
      <c r="F209" s="4" t="s">
        <v>443</v>
      </c>
      <c r="G209" s="5" t="s">
        <v>32</v>
      </c>
      <c r="H209" s="5" t="s">
        <v>56</v>
      </c>
      <c r="I209" s="19"/>
      <c r="J209" s="4"/>
    </row>
  </sheetData>
  <autoFilter ref="A1:J209" xr:uid="{00000000-0009-0000-0000-000003000000}"/>
  <conditionalFormatting sqref="G2:G209">
    <cfRule type="cellIs" dxfId="8" priority="2" operator="equal">
      <formula>"Easy"</formula>
    </cfRule>
    <cfRule type="cellIs" dxfId="7" priority="3" operator="equal">
      <formula>"Medium"</formula>
    </cfRule>
    <cfRule type="cellIs" dxfId="6" priority="4" operator="equal">
      <formula>"Hard"</formula>
    </cfRule>
  </conditionalFormatting>
  <conditionalFormatting sqref="H2:H209">
    <cfRule type="cellIs" dxfId="5" priority="5" operator="equal">
      <formula>"Solved"</formula>
    </cfRule>
    <cfRule type="cellIs" dxfId="4" priority="6" operator="equal">
      <formula>"In Progress"</formula>
    </cfRule>
    <cfRule type="cellIs" dxfId="3" priority="7" operator="equal">
      <formula>"Needs Revision"</formula>
    </cfRule>
  </conditionalFormatting>
  <dataValidations count="2">
    <dataValidation type="list" sqref="H2:H209" xr:uid="{00000000-0002-0000-0300-000000000000}">
      <formula1>"Not Started,In Progress,Solved,Needs Revision"</formula1>
      <formula2>0</formula2>
    </dataValidation>
    <dataValidation type="date" operator="greaterThan" allowBlank="1" showErrorMessage="1" errorTitle="Date" error="Enter a valid date, e.g. 27-Oct-2026" sqref="I2:I209" xr:uid="{00000000-0002-0000-0300-000001000000}">
      <formula1>36526</formula1>
      <formula2>0</formula2>
    </dataValidation>
  </dataValidations>
  <hyperlinks>
    <hyperlink ref="E2" r:id="rId1" display="https://leetcode.com/problemset/?search=412" xr:uid="{00000000-0004-0000-0300-000000000000}"/>
    <hyperlink ref="E3" r:id="rId2" display="https://leetcode.com/problemset/?search=1822" xr:uid="{00000000-0004-0000-0300-000001000000}"/>
    <hyperlink ref="E4" r:id="rId3" display="https://leetcode.com/problemset/?search=1491" xr:uid="{00000000-0004-0000-0300-000002000000}"/>
    <hyperlink ref="E5" r:id="rId4" display="https://leetcode.com/problemset/?search=1523" xr:uid="{00000000-0004-0000-0300-000003000000}"/>
    <hyperlink ref="E6" r:id="rId5" display="https://leetcode.com/problemset/?search=976" xr:uid="{00000000-0004-0000-0300-000004000000}"/>
    <hyperlink ref="E7" r:id="rId6" display="https://leetcode.com/problemset/?search=836" xr:uid="{00000000-0004-0000-0300-000005000000}"/>
    <hyperlink ref="E8" r:id="rId7" display="https://leetcode.com/problemset/?search=1185" xr:uid="{00000000-0004-0000-0300-000006000000}"/>
    <hyperlink ref="E9" r:id="rId8" display="https://leetcode.com/problemset/?search=1360" xr:uid="{00000000-0004-0000-0300-000007000000}"/>
    <hyperlink ref="E10" r:id="rId9" display="https://leetcode.com/problemset/?search=1672" xr:uid="{00000000-0004-0000-0300-000008000000}"/>
    <hyperlink ref="E11" r:id="rId10" display="https://leetcode.com/problemset/?search=1342" xr:uid="{00000000-0004-0000-0300-000009000000}"/>
    <hyperlink ref="E12" r:id="rId11" display="https://leetcode.com/problemset/?search=1281" xr:uid="{00000000-0004-0000-0300-00000A000000}"/>
    <hyperlink ref="E13" r:id="rId12" display="https://leetcode.com/problemset/?search=258" xr:uid="{00000000-0004-0000-0300-00000B000000}"/>
    <hyperlink ref="E14" r:id="rId13" display="https://leetcode.com/problemset/?search=1688" xr:uid="{00000000-0004-0000-0300-00000C000000}"/>
    <hyperlink ref="E15" r:id="rId14" display="https://leetcode.com/problemset/?search=1518" xr:uid="{00000000-0004-0000-0300-00000D000000}"/>
    <hyperlink ref="E16" r:id="rId15" display="https://leetcode.com/problemset/?search=509" xr:uid="{00000000-0004-0000-0300-00000E000000}"/>
    <hyperlink ref="E17" r:id="rId16" display="https://leetcode.com/problemset/?search=9" xr:uid="{00000000-0004-0000-0300-00000F000000}"/>
    <hyperlink ref="E18" r:id="rId17" display="https://leetcode.com/problemset/?search=7" xr:uid="{00000000-0004-0000-0300-000010000000}"/>
    <hyperlink ref="E19" r:id="rId18" display="https://leetcode.com/problemset/?search=202" xr:uid="{00000000-0004-0000-0300-000011000000}"/>
    <hyperlink ref="E20" r:id="rId19" display="https://leetcode.com/problemset/?search=204" xr:uid="{00000000-0004-0000-0300-000012000000}"/>
    <hyperlink ref="E21" r:id="rId20" display="https://leetcode.com/problemset/?search=13" xr:uid="{00000000-0004-0000-0300-000013000000}"/>
    <hyperlink ref="E22" r:id="rId21" display="https://leetcode.com/problemset/?search=66" xr:uid="{00000000-0004-0000-0300-000014000000}"/>
    <hyperlink ref="E23" r:id="rId22" display="https://leetcode.com/problemset/?search=67" xr:uid="{00000000-0004-0000-0300-000015000000}"/>
    <hyperlink ref="E24" r:id="rId23" display="https://leetcode.com/problemset/?search=69" xr:uid="{00000000-0004-0000-0300-000016000000}"/>
    <hyperlink ref="E25" r:id="rId24" display="https://leetcode.com/problemset/?search=50" xr:uid="{00000000-0004-0000-0300-000017000000}"/>
    <hyperlink ref="E26" r:id="rId25" display="https://leetcode.com/problemset/?search=43" xr:uid="{00000000-0004-0000-0300-000018000000}"/>
    <hyperlink ref="E27" r:id="rId26" display="https://leetcode.com/problemset/?search=1" xr:uid="{00000000-0004-0000-0300-000019000000}"/>
    <hyperlink ref="E28" r:id="rId27" display="https://leetcode.com/problemset/?search=26" xr:uid="{00000000-0004-0000-0300-00001A000000}"/>
    <hyperlink ref="E29" r:id="rId28" display="https://leetcode.com/problemset/?search=27" xr:uid="{00000000-0004-0000-0300-00001B000000}"/>
    <hyperlink ref="E30" r:id="rId29" display="https://leetcode.com/problemset/?search=88" xr:uid="{00000000-0004-0000-0300-00001C000000}"/>
    <hyperlink ref="E31" r:id="rId30" display="https://leetcode.com/problemset/?search=283" xr:uid="{00000000-0004-0000-0300-00001D000000}"/>
    <hyperlink ref="E32" r:id="rId31" display="https://leetcode.com/problemset/?search=217" xr:uid="{00000000-0004-0000-0300-00001E000000}"/>
    <hyperlink ref="E33" r:id="rId32" display="https://leetcode.com/problemset/?search=136" xr:uid="{00000000-0004-0000-0300-00001F000000}"/>
    <hyperlink ref="E34" r:id="rId33" display="https://leetcode.com/problemset/?search=169" xr:uid="{00000000-0004-0000-0300-000020000000}"/>
    <hyperlink ref="E35" r:id="rId34" display="https://leetcode.com/problemset/?search=121" xr:uid="{00000000-0004-0000-0300-000021000000}"/>
    <hyperlink ref="E36" r:id="rId35" display="https://leetcode.com/problemset/?search=189" xr:uid="{00000000-0004-0000-0300-000022000000}"/>
    <hyperlink ref="E37" r:id="rId36" display="https://leetcode.com/problemset/?search=53" xr:uid="{00000000-0004-0000-0300-000023000000}"/>
    <hyperlink ref="E38" r:id="rId37" display="https://leetcode.com/problemset/?search=238" xr:uid="{00000000-0004-0000-0300-000024000000}"/>
    <hyperlink ref="E39" r:id="rId38" display="https://leetcode.com/problemset/?search=75" xr:uid="{00000000-0004-0000-0300-000025000000}"/>
    <hyperlink ref="E40" r:id="rId39" display="https://leetcode.com/problemset/?search=31" xr:uid="{00000000-0004-0000-0300-000026000000}"/>
    <hyperlink ref="E41" r:id="rId40" display="https://leetcode.com/problemset/?search=11" xr:uid="{00000000-0004-0000-0300-000027000000}"/>
    <hyperlink ref="E42" r:id="rId41" display="https://leetcode.com/problemset/?search=15" xr:uid="{00000000-0004-0000-0300-000028000000}"/>
    <hyperlink ref="E43" r:id="rId42" display="https://leetcode.com/problemset/?search=56" xr:uid="{00000000-0004-0000-0300-000029000000}"/>
    <hyperlink ref="E44" r:id="rId43" display="https://leetcode.com/problemset/?search=128" xr:uid="{00000000-0004-0000-0300-00002A000000}"/>
    <hyperlink ref="E45" r:id="rId44" display="https://leetcode.com/problemset/?search=41" xr:uid="{00000000-0004-0000-0300-00002B000000}"/>
    <hyperlink ref="E46" r:id="rId45" display="https://leetcode.com/problemset/?search=42" xr:uid="{00000000-0004-0000-0300-00002C000000}"/>
    <hyperlink ref="E47" r:id="rId46" display="https://leetcode.com/problemset/?search=344" xr:uid="{00000000-0004-0000-0300-00002D000000}"/>
    <hyperlink ref="E48" r:id="rId47" display="https://leetcode.com/problemset/?search=125" xr:uid="{00000000-0004-0000-0300-00002E000000}"/>
    <hyperlink ref="E49" r:id="rId48" display="https://leetcode.com/problemset/?search=242" xr:uid="{00000000-0004-0000-0300-00002F000000}"/>
    <hyperlink ref="E50" r:id="rId49" display="https://leetcode.com/problemset/?search=387" xr:uid="{00000000-0004-0000-0300-000030000000}"/>
    <hyperlink ref="E51" r:id="rId50" display="https://leetcode.com/problemset/?search=14" xr:uid="{00000000-0004-0000-0300-000031000000}"/>
    <hyperlink ref="E52" r:id="rId51" display="https://leetcode.com/problemset/?search=28" xr:uid="{00000000-0004-0000-0300-000032000000}"/>
    <hyperlink ref="E53" r:id="rId52" display="https://leetcode.com/problemset/?search=49" xr:uid="{00000000-0004-0000-0300-000033000000}"/>
    <hyperlink ref="E54" r:id="rId53" display="https://leetcode.com/problemset/?search=151" xr:uid="{00000000-0004-0000-0300-000034000000}"/>
    <hyperlink ref="E55" r:id="rId54" display="https://leetcode.com/problemset/?search=8" xr:uid="{00000000-0004-0000-0300-000035000000}"/>
    <hyperlink ref="E56" r:id="rId55" display="https://leetcode.com/problemset/?search=5" xr:uid="{00000000-0004-0000-0300-000036000000}"/>
    <hyperlink ref="E57" r:id="rId56" display="https://leetcode.com/problemset/?search=6" xr:uid="{00000000-0004-0000-0300-000037000000}"/>
    <hyperlink ref="E58" r:id="rId57" display="https://leetcode.com/problemset/?search=383" xr:uid="{00000000-0004-0000-0300-000038000000}"/>
    <hyperlink ref="E59" r:id="rId58" display="https://leetcode.com/problemset/?search=205" xr:uid="{00000000-0004-0000-0300-000039000000}"/>
    <hyperlink ref="E60" r:id="rId59" display="https://leetcode.com/problemset/?search=347" xr:uid="{00000000-0004-0000-0300-00003A000000}"/>
    <hyperlink ref="E61" r:id="rId60" display="https://leetcode.com/problemset/?search=560" xr:uid="{00000000-0004-0000-0300-00003B000000}"/>
    <hyperlink ref="E62" r:id="rId61" display="https://leetcode.com/problemset/?search=454" xr:uid="{00000000-0004-0000-0300-00003C000000}"/>
    <hyperlink ref="E63" r:id="rId62" display="https://leetcode.com/problemset/?search=380" xr:uid="{00000000-0004-0000-0300-00003D000000}"/>
    <hyperlink ref="E64" r:id="rId63" display="https://leetcode.com/problemset/?search=146" xr:uid="{00000000-0004-0000-0300-00003E000000}"/>
    <hyperlink ref="E65" r:id="rId64" display="https://leetcode.com/problemset/?search=977" xr:uid="{00000000-0004-0000-0300-00003F000000}"/>
    <hyperlink ref="E66" r:id="rId65" display="https://leetcode.com/problemset/?search=392" xr:uid="{00000000-0004-0000-0300-000040000000}"/>
    <hyperlink ref="E67" r:id="rId66" display="https://leetcode.com/problemset/?search=167" xr:uid="{00000000-0004-0000-0300-000041000000}"/>
    <hyperlink ref="E68" r:id="rId67" display="https://leetcode.com/problemset/?search=643" xr:uid="{00000000-0004-0000-0300-000042000000}"/>
    <hyperlink ref="E69" r:id="rId68" display="https://leetcode.com/problemset/?search=3" xr:uid="{00000000-0004-0000-0300-000043000000}"/>
    <hyperlink ref="E70" r:id="rId69" display="https://leetcode.com/problemset/?search=209" xr:uid="{00000000-0004-0000-0300-000044000000}"/>
    <hyperlink ref="E71" r:id="rId70" display="https://leetcode.com/problemset/?search=424" xr:uid="{00000000-0004-0000-0300-000045000000}"/>
    <hyperlink ref="E72" r:id="rId71" display="https://leetcode.com/problemset/?search=567" xr:uid="{00000000-0004-0000-0300-000046000000}"/>
    <hyperlink ref="E73" r:id="rId72" display="https://leetcode.com/problemset/?search=438" xr:uid="{00000000-0004-0000-0300-000047000000}"/>
    <hyperlink ref="E74" r:id="rId73" display="https://leetcode.com/problemset/?search=76" xr:uid="{00000000-0004-0000-0300-000048000000}"/>
    <hyperlink ref="E75" r:id="rId74" display="https://leetcode.com/problemset/?search=239" xr:uid="{00000000-0004-0000-0300-000049000000}"/>
    <hyperlink ref="E76" r:id="rId75" display="https://leetcode.com/problemset/?search=1480" xr:uid="{00000000-0004-0000-0300-00004A000000}"/>
    <hyperlink ref="E77" r:id="rId76" display="https://leetcode.com/problemset/?search=303" xr:uid="{00000000-0004-0000-0300-00004B000000}"/>
    <hyperlink ref="E78" r:id="rId77" display="https://leetcode.com/problemset/?search=724" xr:uid="{00000000-0004-0000-0300-00004C000000}"/>
    <hyperlink ref="E79" r:id="rId78" display="https://leetcode.com/problemset/?search=525" xr:uid="{00000000-0004-0000-0300-00004D000000}"/>
    <hyperlink ref="E80" r:id="rId79" display="https://leetcode.com/problemset/?search=974" xr:uid="{00000000-0004-0000-0300-00004E000000}"/>
    <hyperlink ref="E81" r:id="rId80" display="https://leetcode.com/problemset/?search=704" xr:uid="{00000000-0004-0000-0300-00004F000000}"/>
    <hyperlink ref="E82" r:id="rId81" display="https://leetcode.com/problemset/?search=35" xr:uid="{00000000-0004-0000-0300-000050000000}"/>
    <hyperlink ref="E83" r:id="rId82" display="https://leetcode.com/problemset/?search=278" xr:uid="{00000000-0004-0000-0300-000051000000}"/>
    <hyperlink ref="E84" r:id="rId83" display="https://leetcode.com/problemset/?search=34" xr:uid="{00000000-0004-0000-0300-000052000000}"/>
    <hyperlink ref="E85" r:id="rId84" display="https://leetcode.com/problemset/?search=33" xr:uid="{00000000-0004-0000-0300-000053000000}"/>
    <hyperlink ref="E86" r:id="rId85" display="https://leetcode.com/problemset/?search=153" xr:uid="{00000000-0004-0000-0300-000054000000}"/>
    <hyperlink ref="E87" r:id="rId86" display="https://leetcode.com/problemset/?search=162" xr:uid="{00000000-0004-0000-0300-000055000000}"/>
    <hyperlink ref="E88" r:id="rId87" display="https://leetcode.com/problemset/?search=875" xr:uid="{00000000-0004-0000-0300-000056000000}"/>
    <hyperlink ref="E89" r:id="rId88" display="https://leetcode.com/problemset/?search=1011" xr:uid="{00000000-0004-0000-0300-000057000000}"/>
    <hyperlink ref="E90" r:id="rId89" display="https://leetcode.com/problemset/?search=410" xr:uid="{00000000-0004-0000-0300-000058000000}"/>
    <hyperlink ref="E91" r:id="rId90" display="https://leetcode.com/problemset/?search=4" xr:uid="{00000000-0004-0000-0300-000059000000}"/>
    <hyperlink ref="E92" r:id="rId91" display="https://leetcode.com/problemset/?search=912" xr:uid="{00000000-0004-0000-0300-00005A000000}"/>
    <hyperlink ref="E93" r:id="rId92" display="https://leetcode.com/problemset/?search=179" xr:uid="{00000000-0004-0000-0300-00005B000000}"/>
    <hyperlink ref="E94" r:id="rId93" display="https://leetcode.com/problemset/?search=215" xr:uid="{00000000-0004-0000-0300-00005C000000}"/>
    <hyperlink ref="E95" r:id="rId94" display="https://leetcode.com/problemset/?search=148" xr:uid="{00000000-0004-0000-0300-00005D000000}"/>
    <hyperlink ref="E96" r:id="rId95" display="https://leetcode.com/problemset/?search=78" xr:uid="{00000000-0004-0000-0300-00005E000000}"/>
    <hyperlink ref="E97" r:id="rId96" display="https://leetcode.com/problemset/?search=90" xr:uid="{00000000-0004-0000-0300-00005F000000}"/>
    <hyperlink ref="E98" r:id="rId97" display="https://leetcode.com/problemset/?search=46" xr:uid="{00000000-0004-0000-0300-000060000000}"/>
    <hyperlink ref="E99" r:id="rId98" display="https://leetcode.com/problemset/?search=17" xr:uid="{00000000-0004-0000-0300-000061000000}"/>
    <hyperlink ref="E100" r:id="rId99" display="https://leetcode.com/problemset/?search=39" xr:uid="{00000000-0004-0000-0300-000062000000}"/>
    <hyperlink ref="E101" r:id="rId100" display="https://leetcode.com/problemset/?search=40" xr:uid="{00000000-0004-0000-0300-000063000000}"/>
    <hyperlink ref="E102" r:id="rId101" display="https://leetcode.com/problemset/?search=22" xr:uid="{00000000-0004-0000-0300-000064000000}"/>
    <hyperlink ref="E103" r:id="rId102" display="https://leetcode.com/problemset/?search=131" xr:uid="{00000000-0004-0000-0300-000065000000}"/>
    <hyperlink ref="E104" r:id="rId103" display="https://leetcode.com/problemset/?search=79" xr:uid="{00000000-0004-0000-0300-000066000000}"/>
    <hyperlink ref="E105" r:id="rId104" display="https://leetcode.com/problemset/?search=51" xr:uid="{00000000-0004-0000-0300-000067000000}"/>
    <hyperlink ref="E106" r:id="rId105" display="https://leetcode.com/problemset/?search=37" xr:uid="{00000000-0004-0000-0300-000068000000}"/>
    <hyperlink ref="E107" r:id="rId106" display="https://leetcode.com/problemset/?search=206" xr:uid="{00000000-0004-0000-0300-000069000000}"/>
    <hyperlink ref="E108" r:id="rId107" display="https://leetcode.com/problemset/?search=21" xr:uid="{00000000-0004-0000-0300-00006A000000}"/>
    <hyperlink ref="E109" r:id="rId108" display="https://leetcode.com/problemset/?search=83" xr:uid="{00000000-0004-0000-0300-00006B000000}"/>
    <hyperlink ref="E110" r:id="rId109" display="https://leetcode.com/problemset/?search=141" xr:uid="{00000000-0004-0000-0300-00006C000000}"/>
    <hyperlink ref="E111" r:id="rId110" display="https://leetcode.com/problemset/?search=876" xr:uid="{00000000-0004-0000-0300-00006D000000}"/>
    <hyperlink ref="E112" r:id="rId111" display="https://leetcode.com/problemset/?search=160" xr:uid="{00000000-0004-0000-0300-00006E000000}"/>
    <hyperlink ref="E113" r:id="rId112" display="https://leetcode.com/problemset/?search=234" xr:uid="{00000000-0004-0000-0300-00006F000000}"/>
    <hyperlink ref="E114" r:id="rId113" display="https://leetcode.com/problemset/?search=19" xr:uid="{00000000-0004-0000-0300-000070000000}"/>
    <hyperlink ref="E115" r:id="rId114" display="https://leetcode.com/problemset/?search=2" xr:uid="{00000000-0004-0000-0300-000071000000}"/>
    <hyperlink ref="E116" r:id="rId115" display="https://leetcode.com/problemset/?search=142" xr:uid="{00000000-0004-0000-0300-000072000000}"/>
    <hyperlink ref="E117" r:id="rId116" display="https://leetcode.com/problemset/?search=143" xr:uid="{00000000-0004-0000-0300-000073000000}"/>
    <hyperlink ref="E118" r:id="rId117" display="https://leetcode.com/problemset/?search=138" xr:uid="{00000000-0004-0000-0300-000074000000}"/>
    <hyperlink ref="E119" r:id="rId118" display="https://leetcode.com/problemset/?search=25" xr:uid="{00000000-0004-0000-0300-000075000000}"/>
    <hyperlink ref="E120" r:id="rId119" display="https://leetcode.com/problemset/?search=23" xr:uid="{00000000-0004-0000-0300-000076000000}"/>
    <hyperlink ref="E121" r:id="rId120" display="https://leetcode.com/problemset/?search=20" xr:uid="{00000000-0004-0000-0300-000077000000}"/>
    <hyperlink ref="E122" r:id="rId121" display="https://leetcode.com/problemset/?search=232" xr:uid="{00000000-0004-0000-0300-000078000000}"/>
    <hyperlink ref="E123" r:id="rId122" display="https://leetcode.com/problemset/?search=225" xr:uid="{00000000-0004-0000-0300-000079000000}"/>
    <hyperlink ref="E124" r:id="rId123" display="https://leetcode.com/problemset/?search=496" xr:uid="{00000000-0004-0000-0300-00007A000000}"/>
    <hyperlink ref="E125" r:id="rId124" display="https://leetcode.com/problemset/?search=155" xr:uid="{00000000-0004-0000-0300-00007B000000}"/>
    <hyperlink ref="E126" r:id="rId125" display="https://leetcode.com/problemset/?search=150" xr:uid="{00000000-0004-0000-0300-00007C000000}"/>
    <hyperlink ref="E127" r:id="rId126" display="https://leetcode.com/problemset/?search=739" xr:uid="{00000000-0004-0000-0300-00007D000000}"/>
    <hyperlink ref="E128" r:id="rId127" display="https://leetcode.com/problemset/?search=394" xr:uid="{00000000-0004-0000-0300-00007E000000}"/>
    <hyperlink ref="E129" r:id="rId128" display="https://leetcode.com/problemset/?search=224" xr:uid="{00000000-0004-0000-0300-00007F000000}"/>
    <hyperlink ref="E130" r:id="rId129" display="https://leetcode.com/problemset/?search=84" xr:uid="{00000000-0004-0000-0300-000080000000}"/>
    <hyperlink ref="E131" r:id="rId130" display="https://leetcode.com/problemset/?search=85" xr:uid="{00000000-0004-0000-0300-000081000000}"/>
    <hyperlink ref="E132" r:id="rId131" display="https://leetcode.com/problemset/?search=104" xr:uid="{00000000-0004-0000-0300-000082000000}"/>
    <hyperlink ref="E133" r:id="rId132" display="https://leetcode.com/problemset/?search=100" xr:uid="{00000000-0004-0000-0300-000083000000}"/>
    <hyperlink ref="E134" r:id="rId133" display="https://leetcode.com/problemset/?search=226" xr:uid="{00000000-0004-0000-0300-000084000000}"/>
    <hyperlink ref="E135" r:id="rId134" display="https://leetcode.com/problemset/?search=101" xr:uid="{00000000-0004-0000-0300-000085000000}"/>
    <hyperlink ref="E136" r:id="rId135" display="https://leetcode.com/problemset/?search=94" xr:uid="{00000000-0004-0000-0300-000086000000}"/>
    <hyperlink ref="E137" r:id="rId136" display="https://leetcode.com/problemset/?search=144" xr:uid="{00000000-0004-0000-0300-000087000000}"/>
    <hyperlink ref="E138" r:id="rId137" display="https://leetcode.com/problemset/?search=145" xr:uid="{00000000-0004-0000-0300-000088000000}"/>
    <hyperlink ref="E139" r:id="rId138" display="https://leetcode.com/problemset/?search=110" xr:uid="{00000000-0004-0000-0300-000089000000}"/>
    <hyperlink ref="E140" r:id="rId139" display="https://leetcode.com/problemset/?search=543" xr:uid="{00000000-0004-0000-0300-00008A000000}"/>
    <hyperlink ref="E141" r:id="rId140" display="https://leetcode.com/problemset/?search=112" xr:uid="{00000000-0004-0000-0300-00008B000000}"/>
    <hyperlink ref="E142" r:id="rId141" display="https://leetcode.com/problemset/?search=102" xr:uid="{00000000-0004-0000-0300-00008C000000}"/>
    <hyperlink ref="E143" r:id="rId142" display="https://leetcode.com/problemset/?search=199" xr:uid="{00000000-0004-0000-0300-00008D000000}"/>
    <hyperlink ref="E144" r:id="rId143" display="https://leetcode.com/problemset/?search=98" xr:uid="{00000000-0004-0000-0300-00008E000000}"/>
    <hyperlink ref="E145" r:id="rId144" display="https://leetcode.com/problemset/?search=230" xr:uid="{00000000-0004-0000-0300-00008F000000}"/>
    <hyperlink ref="E146" r:id="rId145" display="https://leetcode.com/problemset/?search=235" xr:uid="{00000000-0004-0000-0300-000090000000}"/>
    <hyperlink ref="E147" r:id="rId146" display="https://leetcode.com/problemset/?search=236" xr:uid="{00000000-0004-0000-0300-000091000000}"/>
    <hyperlink ref="E148" r:id="rId147" display="https://leetcode.com/problemset/?search=105" xr:uid="{00000000-0004-0000-0300-000092000000}"/>
    <hyperlink ref="E149" r:id="rId148" display="https://leetcode.com/problemset/?search=114" xr:uid="{00000000-0004-0000-0300-000093000000}"/>
    <hyperlink ref="E150" r:id="rId149" display="https://leetcode.com/problemset/?search=297" xr:uid="{00000000-0004-0000-0300-000094000000}"/>
    <hyperlink ref="E151" r:id="rId150" display="https://leetcode.com/problemset/?search=124" xr:uid="{00000000-0004-0000-0300-000095000000}"/>
    <hyperlink ref="E152" r:id="rId151" display="https://leetcode.com/problemset/?search=703" xr:uid="{00000000-0004-0000-0300-000096000000}"/>
    <hyperlink ref="E153" r:id="rId152" display="https://leetcode.com/problemset/?search=1046" xr:uid="{00000000-0004-0000-0300-000097000000}"/>
    <hyperlink ref="E154" r:id="rId153" display="https://leetcode.com/problemset/?search=973" xr:uid="{00000000-0004-0000-0300-000098000000}"/>
    <hyperlink ref="E155" r:id="rId154" display="https://leetcode.com/problemset/?search=621" xr:uid="{00000000-0004-0000-0300-000099000000}"/>
    <hyperlink ref="E156" r:id="rId155" display="https://leetcode.com/problemset/?search=295" xr:uid="{00000000-0004-0000-0300-00009A000000}"/>
    <hyperlink ref="E157" r:id="rId156" display="https://leetcode.com/problemset/?search=208" xr:uid="{00000000-0004-0000-0300-00009B000000}"/>
    <hyperlink ref="E158" r:id="rId157" display="https://leetcode.com/problemset/?search=211" xr:uid="{00000000-0004-0000-0300-00009C000000}"/>
    <hyperlink ref="E159" r:id="rId158" display="https://leetcode.com/problemset/?search=212" xr:uid="{00000000-0004-0000-0300-00009D000000}"/>
    <hyperlink ref="E160" r:id="rId159" display="https://leetcode.com/problemset/?search=733" xr:uid="{00000000-0004-0000-0300-00009E000000}"/>
    <hyperlink ref="E161" r:id="rId160" display="https://leetcode.com/problemset/?search=200" xr:uid="{00000000-0004-0000-0300-00009F000000}"/>
    <hyperlink ref="E162" r:id="rId161" display="https://leetcode.com/problemset/?search=695" xr:uid="{00000000-0004-0000-0300-0000A0000000}"/>
    <hyperlink ref="E163" r:id="rId162" display="https://leetcode.com/problemset/?search=133" xr:uid="{00000000-0004-0000-0300-0000A1000000}"/>
    <hyperlink ref="E164" r:id="rId163" display="https://leetcode.com/problemset/?search=547" xr:uid="{00000000-0004-0000-0300-0000A2000000}"/>
    <hyperlink ref="E165" r:id="rId164" display="https://leetcode.com/problemset/?search=994" xr:uid="{00000000-0004-0000-0300-0000A3000000}"/>
    <hyperlink ref="E166" r:id="rId165" display="https://leetcode.com/problemset/?search=417" xr:uid="{00000000-0004-0000-0300-0000A4000000}"/>
    <hyperlink ref="E167" r:id="rId166" display="https://leetcode.com/problemset/?search=207" xr:uid="{00000000-0004-0000-0300-0000A5000000}"/>
    <hyperlink ref="E168" r:id="rId167" display="https://leetcode.com/problemset/?search=210" xr:uid="{00000000-0004-0000-0300-0000A6000000}"/>
    <hyperlink ref="E169" r:id="rId168" display="https://leetcode.com/problemset/?search=127" xr:uid="{00000000-0004-0000-0300-0000A7000000}"/>
    <hyperlink ref="E170" r:id="rId169" display="https://leetcode.com/problemset/?search=684" xr:uid="{00000000-0004-0000-0300-0000A8000000}"/>
    <hyperlink ref="E171" r:id="rId170" display="https://leetcode.com/problemset/?search=743" xr:uid="{00000000-0004-0000-0300-0000A9000000}"/>
    <hyperlink ref="E172" r:id="rId171" display="https://leetcode.com/problemset/?search=787" xr:uid="{00000000-0004-0000-0300-0000AA000000}"/>
    <hyperlink ref="E173" r:id="rId172" display="https://leetcode.com/problemset/?search=1584" xr:uid="{00000000-0004-0000-0300-0000AB000000}"/>
    <hyperlink ref="E174" r:id="rId173" display="https://leetcode.com/problemset/?search=778" xr:uid="{00000000-0004-0000-0300-0000AC000000}"/>
    <hyperlink ref="E175" r:id="rId174" display="https://leetcode.com/problemset/?search=455" xr:uid="{00000000-0004-0000-0300-0000AD000000}"/>
    <hyperlink ref="E176" r:id="rId175" display="https://leetcode.com/problemset/?search=860" xr:uid="{00000000-0004-0000-0300-0000AE000000}"/>
    <hyperlink ref="E177" r:id="rId176" display="https://leetcode.com/problemset/?search=122" xr:uid="{00000000-0004-0000-0300-0000AF000000}"/>
    <hyperlink ref="E178" r:id="rId177" display="https://leetcode.com/problemset/?search=55" xr:uid="{00000000-0004-0000-0300-0000B0000000}"/>
    <hyperlink ref="E179" r:id="rId178" display="https://leetcode.com/problemset/?search=45" xr:uid="{00000000-0004-0000-0300-0000B1000000}"/>
    <hyperlink ref="E180" r:id="rId179" display="https://leetcode.com/problemset/?search=134" xr:uid="{00000000-0004-0000-0300-0000B2000000}"/>
    <hyperlink ref="E181" r:id="rId180" display="https://leetcode.com/problemset/?search=435" xr:uid="{00000000-0004-0000-0300-0000B3000000}"/>
    <hyperlink ref="E182" r:id="rId181" display="https://leetcode.com/problemset/?search=763" xr:uid="{00000000-0004-0000-0300-0000B4000000}"/>
    <hyperlink ref="E183" r:id="rId182" display="https://leetcode.com/problemset/?search=135" xr:uid="{00000000-0004-0000-0300-0000B5000000}"/>
    <hyperlink ref="E184" r:id="rId183" display="https://leetcode.com/problemset/?search=70" xr:uid="{00000000-0004-0000-0300-0000B6000000}"/>
    <hyperlink ref="E185" r:id="rId184" display="https://leetcode.com/problemset/?search=746" xr:uid="{00000000-0004-0000-0300-0000B7000000}"/>
    <hyperlink ref="E186" r:id="rId185" display="https://leetcode.com/problemset/?search=198" xr:uid="{00000000-0004-0000-0300-0000B8000000}"/>
    <hyperlink ref="E187" r:id="rId186" display="https://leetcode.com/problemset/?search=213" xr:uid="{00000000-0004-0000-0300-0000B9000000}"/>
    <hyperlink ref="E188" r:id="rId187" display="https://leetcode.com/problemset/?search=322" xr:uid="{00000000-0004-0000-0300-0000BA000000}"/>
    <hyperlink ref="E189" r:id="rId188" display="https://leetcode.com/problemset/?search=300" xr:uid="{00000000-0004-0000-0300-0000BB000000}"/>
    <hyperlink ref="E190" r:id="rId189" display="https://leetcode.com/problemset/?search=139" xr:uid="{00000000-0004-0000-0300-0000BC000000}"/>
    <hyperlink ref="E191" r:id="rId190" display="https://leetcode.com/problemset/?search=62" xr:uid="{00000000-0004-0000-0300-0000BD000000}"/>
    <hyperlink ref="E192" r:id="rId191" display="https://leetcode.com/problemset/?search=64" xr:uid="{00000000-0004-0000-0300-0000BE000000}"/>
    <hyperlink ref="E193" r:id="rId192" display="https://leetcode.com/problemset/?search=152" xr:uid="{00000000-0004-0000-0300-0000BF000000}"/>
    <hyperlink ref="E194" r:id="rId193" display="https://leetcode.com/problemset/?search=416" xr:uid="{00000000-0004-0000-0300-0000C0000000}"/>
    <hyperlink ref="E195" r:id="rId194" display="https://leetcode.com/problemset/?search=494" xr:uid="{00000000-0004-0000-0300-0000C1000000}"/>
    <hyperlink ref="E196" r:id="rId195" display="https://leetcode.com/problemset/?search=1143" xr:uid="{00000000-0004-0000-0300-0000C2000000}"/>
    <hyperlink ref="E197" r:id="rId196" display="https://leetcode.com/problemset/?search=72" xr:uid="{00000000-0004-0000-0300-0000C3000000}"/>
    <hyperlink ref="E198" r:id="rId197" display="https://leetcode.com/problemset/?search=10" xr:uid="{00000000-0004-0000-0300-0000C4000000}"/>
    <hyperlink ref="E199" r:id="rId198" display="https://leetcode.com/problemset/?search=312" xr:uid="{00000000-0004-0000-0300-0000C5000000}"/>
    <hyperlink ref="E200" r:id="rId199" display="https://leetcode.com/problemset/?search=191" xr:uid="{00000000-0004-0000-0300-0000C6000000}"/>
    <hyperlink ref="E201" r:id="rId200" display="https://leetcode.com/problemset/?search=231" xr:uid="{00000000-0004-0000-0300-0000C7000000}"/>
    <hyperlink ref="E202" r:id="rId201" display="https://leetcode.com/problemset/?search=338" xr:uid="{00000000-0004-0000-0300-0000C8000000}"/>
    <hyperlink ref="E203" r:id="rId202" display="https://leetcode.com/problemset/?search=268" xr:uid="{00000000-0004-0000-0300-0000C9000000}"/>
    <hyperlink ref="E204" r:id="rId203" display="https://leetcode.com/problemset/?search=371" xr:uid="{00000000-0004-0000-0300-0000CA000000}"/>
    <hyperlink ref="E205" r:id="rId204" display="https://leetcode.com/problemset/?search=201" xr:uid="{00000000-0004-0000-0300-0000CB000000}"/>
    <hyperlink ref="E206" r:id="rId205" display="https://leetcode.com/problemset/?search=307" xr:uid="{00000000-0004-0000-0300-0000CC000000}"/>
    <hyperlink ref="E207" r:id="rId206" display="https://leetcode.com/problemset/?search=315" xr:uid="{00000000-0004-0000-0300-0000CD000000}"/>
    <hyperlink ref="E208" r:id="rId207" display="https://leetcode.com/problemset/?search=1235" xr:uid="{00000000-0004-0000-0300-0000CE000000}"/>
    <hyperlink ref="E209" r:id="rId208" display="https://leetcode.com/problemset/?search=887" xr:uid="{00000000-0004-0000-0300-0000C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8" customWidth="1"/>
    <col min="3" max="3" width="36" customWidth="1"/>
    <col min="4" max="4" width="14" customWidth="1"/>
    <col min="5" max="5" width="50" customWidth="1"/>
    <col min="6" max="6" width="16" customWidth="1"/>
    <col min="7" max="7" width="14" customWidth="1"/>
    <col min="8" max="8" width="40" customWidth="1"/>
  </cols>
  <sheetData>
    <row r="1" spans="1:8" ht="24" customHeight="1" x14ac:dyDescent="0.3">
      <c r="A1" s="3" t="s">
        <v>46</v>
      </c>
      <c r="B1" s="3" t="s">
        <v>227</v>
      </c>
      <c r="C1" s="3" t="s">
        <v>2</v>
      </c>
      <c r="D1" s="3" t="s">
        <v>444</v>
      </c>
      <c r="E1" s="3" t="s">
        <v>230</v>
      </c>
      <c r="F1" s="3" t="s">
        <v>50</v>
      </c>
      <c r="G1" s="3" t="s">
        <v>51</v>
      </c>
      <c r="H1" s="3" t="s">
        <v>52</v>
      </c>
    </row>
    <row r="2" spans="1:8" ht="15" customHeight="1" x14ac:dyDescent="0.3">
      <c r="A2" s="5">
        <v>1</v>
      </c>
      <c r="B2" s="5" t="s">
        <v>445</v>
      </c>
      <c r="C2" s="4" t="s">
        <v>446</v>
      </c>
      <c r="D2" s="5" t="s">
        <v>447</v>
      </c>
      <c r="E2" s="4" t="s">
        <v>448</v>
      </c>
      <c r="F2" s="5" t="s">
        <v>56</v>
      </c>
      <c r="G2" s="19"/>
      <c r="H2" s="4"/>
    </row>
    <row r="3" spans="1:8" ht="15" customHeight="1" x14ac:dyDescent="0.3">
      <c r="A3" s="5">
        <v>2</v>
      </c>
      <c r="B3" s="5" t="s">
        <v>445</v>
      </c>
      <c r="C3" s="4" t="s">
        <v>446</v>
      </c>
      <c r="D3" s="5" t="s">
        <v>447</v>
      </c>
      <c r="E3" s="4" t="s">
        <v>449</v>
      </c>
      <c r="F3" s="5" t="s">
        <v>56</v>
      </c>
      <c r="G3" s="19"/>
      <c r="H3" s="4"/>
    </row>
    <row r="4" spans="1:8" ht="15" customHeight="1" x14ac:dyDescent="0.3">
      <c r="A4" s="5">
        <v>3</v>
      </c>
      <c r="B4" s="5" t="s">
        <v>445</v>
      </c>
      <c r="C4" s="4" t="s">
        <v>446</v>
      </c>
      <c r="D4" s="5" t="s">
        <v>447</v>
      </c>
      <c r="E4" s="4" t="s">
        <v>450</v>
      </c>
      <c r="F4" s="5" t="s">
        <v>56</v>
      </c>
      <c r="G4" s="19"/>
      <c r="H4" s="4"/>
    </row>
    <row r="5" spans="1:8" ht="15" customHeight="1" x14ac:dyDescent="0.3">
      <c r="A5" s="5">
        <v>4</v>
      </c>
      <c r="B5" s="5" t="s">
        <v>445</v>
      </c>
      <c r="C5" s="4" t="s">
        <v>446</v>
      </c>
      <c r="D5" s="5" t="s">
        <v>451</v>
      </c>
      <c r="E5" s="4" t="s">
        <v>452</v>
      </c>
      <c r="F5" s="5" t="s">
        <v>56</v>
      </c>
      <c r="G5" s="19"/>
      <c r="H5" s="4"/>
    </row>
    <row r="6" spans="1:8" ht="15" customHeight="1" x14ac:dyDescent="0.3">
      <c r="A6" s="5">
        <v>5</v>
      </c>
      <c r="B6" s="5" t="s">
        <v>445</v>
      </c>
      <c r="C6" s="4" t="s">
        <v>446</v>
      </c>
      <c r="D6" s="5" t="s">
        <v>451</v>
      </c>
      <c r="E6" s="4" t="s">
        <v>453</v>
      </c>
      <c r="F6" s="5" t="s">
        <v>56</v>
      </c>
      <c r="G6" s="19"/>
      <c r="H6" s="4"/>
    </row>
    <row r="7" spans="1:8" ht="15" customHeight="1" x14ac:dyDescent="0.3">
      <c r="A7" s="5">
        <v>6</v>
      </c>
      <c r="B7" s="5" t="s">
        <v>445</v>
      </c>
      <c r="C7" s="4" t="s">
        <v>446</v>
      </c>
      <c r="D7" s="5" t="s">
        <v>451</v>
      </c>
      <c r="E7" s="4" t="s">
        <v>454</v>
      </c>
      <c r="F7" s="5" t="s">
        <v>56</v>
      </c>
      <c r="G7" s="19"/>
      <c r="H7" s="4"/>
    </row>
    <row r="8" spans="1:8" ht="15" customHeight="1" x14ac:dyDescent="0.3">
      <c r="A8" s="5">
        <v>7</v>
      </c>
      <c r="B8" s="5" t="s">
        <v>445</v>
      </c>
      <c r="C8" s="4" t="s">
        <v>446</v>
      </c>
      <c r="D8" s="5" t="s">
        <v>451</v>
      </c>
      <c r="E8" s="4" t="s">
        <v>455</v>
      </c>
      <c r="F8" s="5" t="s">
        <v>56</v>
      </c>
      <c r="G8" s="19"/>
      <c r="H8" s="4"/>
    </row>
    <row r="9" spans="1:8" ht="15" customHeight="1" x14ac:dyDescent="0.3">
      <c r="A9" s="5">
        <v>8</v>
      </c>
      <c r="B9" s="5" t="s">
        <v>445</v>
      </c>
      <c r="C9" s="4" t="s">
        <v>446</v>
      </c>
      <c r="D9" s="5" t="s">
        <v>451</v>
      </c>
      <c r="E9" s="4" t="s">
        <v>456</v>
      </c>
      <c r="F9" s="5" t="s">
        <v>56</v>
      </c>
      <c r="G9" s="19"/>
      <c r="H9" s="4"/>
    </row>
    <row r="10" spans="1:8" ht="15" customHeight="1" x14ac:dyDescent="0.3">
      <c r="A10" s="5">
        <v>9</v>
      </c>
      <c r="B10" s="5" t="s">
        <v>445</v>
      </c>
      <c r="C10" s="4" t="s">
        <v>446</v>
      </c>
      <c r="D10" s="5" t="s">
        <v>457</v>
      </c>
      <c r="E10" s="4" t="s">
        <v>458</v>
      </c>
      <c r="F10" s="5" t="s">
        <v>56</v>
      </c>
      <c r="G10" s="19"/>
      <c r="H10" s="4"/>
    </row>
    <row r="11" spans="1:8" ht="15" customHeight="1" x14ac:dyDescent="0.3">
      <c r="A11" s="5">
        <v>10</v>
      </c>
      <c r="B11" s="5" t="s">
        <v>445</v>
      </c>
      <c r="C11" s="4" t="s">
        <v>446</v>
      </c>
      <c r="D11" s="5" t="s">
        <v>457</v>
      </c>
      <c r="E11" s="4" t="s">
        <v>459</v>
      </c>
      <c r="F11" s="5" t="s">
        <v>56</v>
      </c>
      <c r="G11" s="19"/>
      <c r="H11" s="4"/>
    </row>
    <row r="12" spans="1:8" ht="15" customHeight="1" x14ac:dyDescent="0.3">
      <c r="A12" s="5">
        <v>11</v>
      </c>
      <c r="B12" s="5" t="s">
        <v>445</v>
      </c>
      <c r="C12" s="4" t="s">
        <v>446</v>
      </c>
      <c r="D12" s="5" t="s">
        <v>457</v>
      </c>
      <c r="E12" s="4" t="s">
        <v>460</v>
      </c>
      <c r="F12" s="5" t="s">
        <v>56</v>
      </c>
      <c r="G12" s="19"/>
      <c r="H12" s="4"/>
    </row>
    <row r="13" spans="1:8" ht="15" customHeight="1" x14ac:dyDescent="0.3">
      <c r="A13" s="5">
        <v>12</v>
      </c>
      <c r="B13" s="5" t="s">
        <v>461</v>
      </c>
      <c r="C13" s="4" t="s">
        <v>462</v>
      </c>
      <c r="D13" s="5" t="s">
        <v>451</v>
      </c>
      <c r="E13" s="4" t="s">
        <v>463</v>
      </c>
      <c r="F13" s="5" t="s">
        <v>56</v>
      </c>
      <c r="G13" s="19"/>
      <c r="H13" s="4"/>
    </row>
    <row r="14" spans="1:8" ht="15" customHeight="1" x14ac:dyDescent="0.3">
      <c r="A14" s="5">
        <v>13</v>
      </c>
      <c r="B14" s="5" t="s">
        <v>461</v>
      </c>
      <c r="C14" s="4" t="s">
        <v>462</v>
      </c>
      <c r="D14" s="5" t="s">
        <v>451</v>
      </c>
      <c r="E14" s="4" t="s">
        <v>464</v>
      </c>
      <c r="F14" s="5" t="s">
        <v>56</v>
      </c>
      <c r="G14" s="19"/>
      <c r="H14" s="4"/>
    </row>
    <row r="15" spans="1:8" ht="15" customHeight="1" x14ac:dyDescent="0.3">
      <c r="A15" s="5">
        <v>14</v>
      </c>
      <c r="B15" s="5" t="s">
        <v>461</v>
      </c>
      <c r="C15" s="4" t="s">
        <v>462</v>
      </c>
      <c r="D15" s="5" t="s">
        <v>451</v>
      </c>
      <c r="E15" s="4" t="s">
        <v>465</v>
      </c>
      <c r="F15" s="5" t="s">
        <v>56</v>
      </c>
      <c r="G15" s="19"/>
      <c r="H15" s="4"/>
    </row>
    <row r="16" spans="1:8" ht="15" customHeight="1" x14ac:dyDescent="0.3">
      <c r="A16" s="5">
        <v>15</v>
      </c>
      <c r="B16" s="5" t="s">
        <v>461</v>
      </c>
      <c r="C16" s="4" t="s">
        <v>462</v>
      </c>
      <c r="D16" s="5" t="s">
        <v>451</v>
      </c>
      <c r="E16" s="4" t="s">
        <v>466</v>
      </c>
      <c r="F16" s="5" t="s">
        <v>56</v>
      </c>
      <c r="G16" s="19"/>
      <c r="H16" s="4"/>
    </row>
    <row r="17" spans="1:8" ht="15" customHeight="1" x14ac:dyDescent="0.3">
      <c r="A17" s="5">
        <v>16</v>
      </c>
      <c r="B17" s="5" t="s">
        <v>461</v>
      </c>
      <c r="C17" s="4" t="s">
        <v>462</v>
      </c>
      <c r="D17" s="5" t="s">
        <v>447</v>
      </c>
      <c r="E17" s="4" t="s">
        <v>467</v>
      </c>
      <c r="F17" s="5" t="s">
        <v>56</v>
      </c>
      <c r="G17" s="19"/>
      <c r="H17" s="4"/>
    </row>
    <row r="18" spans="1:8" ht="15" customHeight="1" x14ac:dyDescent="0.3">
      <c r="A18" s="5">
        <v>17</v>
      </c>
      <c r="B18" s="5" t="s">
        <v>461</v>
      </c>
      <c r="C18" s="4" t="s">
        <v>462</v>
      </c>
      <c r="D18" s="5" t="s">
        <v>447</v>
      </c>
      <c r="E18" s="4" t="s">
        <v>468</v>
      </c>
      <c r="F18" s="5" t="s">
        <v>56</v>
      </c>
      <c r="G18" s="19"/>
      <c r="H18" s="4"/>
    </row>
    <row r="19" spans="1:8" ht="15" customHeight="1" x14ac:dyDescent="0.3">
      <c r="A19" s="5">
        <v>18</v>
      </c>
      <c r="B19" s="5" t="s">
        <v>461</v>
      </c>
      <c r="C19" s="4" t="s">
        <v>462</v>
      </c>
      <c r="D19" s="5" t="s">
        <v>447</v>
      </c>
      <c r="E19" s="4" t="s">
        <v>469</v>
      </c>
      <c r="F19" s="5" t="s">
        <v>56</v>
      </c>
      <c r="G19" s="19"/>
      <c r="H19" s="4"/>
    </row>
    <row r="20" spans="1:8" ht="15" customHeight="1" x14ac:dyDescent="0.3">
      <c r="A20" s="5">
        <v>19</v>
      </c>
      <c r="B20" s="5" t="s">
        <v>461</v>
      </c>
      <c r="C20" s="4" t="s">
        <v>462</v>
      </c>
      <c r="D20" s="5" t="s">
        <v>447</v>
      </c>
      <c r="E20" s="4" t="s">
        <v>470</v>
      </c>
      <c r="F20" s="5" t="s">
        <v>56</v>
      </c>
      <c r="G20" s="19"/>
      <c r="H20" s="4"/>
    </row>
    <row r="21" spans="1:8" ht="15" customHeight="1" x14ac:dyDescent="0.3">
      <c r="A21" s="5">
        <v>20</v>
      </c>
      <c r="B21" s="5" t="s">
        <v>471</v>
      </c>
      <c r="C21" s="4" t="s">
        <v>472</v>
      </c>
      <c r="D21" s="5" t="s">
        <v>451</v>
      </c>
      <c r="E21" s="4" t="s">
        <v>473</v>
      </c>
      <c r="F21" s="5" t="s">
        <v>56</v>
      </c>
      <c r="G21" s="19"/>
      <c r="H21" s="4"/>
    </row>
    <row r="22" spans="1:8" ht="15" customHeight="1" x14ac:dyDescent="0.3">
      <c r="A22" s="5">
        <v>21</v>
      </c>
      <c r="B22" s="5" t="s">
        <v>471</v>
      </c>
      <c r="C22" s="4" t="s">
        <v>472</v>
      </c>
      <c r="D22" s="5" t="s">
        <v>451</v>
      </c>
      <c r="E22" s="4" t="s">
        <v>474</v>
      </c>
      <c r="F22" s="5" t="s">
        <v>56</v>
      </c>
      <c r="G22" s="19"/>
      <c r="H22" s="4"/>
    </row>
    <row r="23" spans="1:8" ht="15" customHeight="1" x14ac:dyDescent="0.3">
      <c r="A23" s="5">
        <v>22</v>
      </c>
      <c r="B23" s="5" t="s">
        <v>471</v>
      </c>
      <c r="C23" s="4" t="s">
        <v>472</v>
      </c>
      <c r="D23" s="5" t="s">
        <v>451</v>
      </c>
      <c r="E23" s="4" t="s">
        <v>475</v>
      </c>
      <c r="F23" s="5" t="s">
        <v>56</v>
      </c>
      <c r="G23" s="19"/>
      <c r="H23" s="4"/>
    </row>
    <row r="24" spans="1:8" ht="15" customHeight="1" x14ac:dyDescent="0.3">
      <c r="A24" s="5">
        <v>23</v>
      </c>
      <c r="B24" s="5" t="s">
        <v>471</v>
      </c>
      <c r="C24" s="4" t="s">
        <v>472</v>
      </c>
      <c r="D24" s="5" t="s">
        <v>451</v>
      </c>
      <c r="E24" s="4" t="s">
        <v>476</v>
      </c>
      <c r="F24" s="5" t="s">
        <v>56</v>
      </c>
      <c r="G24" s="19"/>
      <c r="H24" s="4"/>
    </row>
    <row r="25" spans="1:8" ht="15" customHeight="1" x14ac:dyDescent="0.3">
      <c r="A25" s="5">
        <v>24</v>
      </c>
      <c r="B25" s="5" t="s">
        <v>471</v>
      </c>
      <c r="C25" s="4" t="s">
        <v>472</v>
      </c>
      <c r="D25" s="5" t="s">
        <v>447</v>
      </c>
      <c r="E25" s="4" t="s">
        <v>477</v>
      </c>
      <c r="F25" s="5" t="s">
        <v>56</v>
      </c>
      <c r="G25" s="19"/>
      <c r="H25" s="4"/>
    </row>
    <row r="26" spans="1:8" ht="15" customHeight="1" x14ac:dyDescent="0.3">
      <c r="A26" s="5">
        <v>25</v>
      </c>
      <c r="B26" s="5" t="s">
        <v>471</v>
      </c>
      <c r="C26" s="4" t="s">
        <v>472</v>
      </c>
      <c r="D26" s="5" t="s">
        <v>447</v>
      </c>
      <c r="E26" s="4" t="s">
        <v>478</v>
      </c>
      <c r="F26" s="5" t="s">
        <v>56</v>
      </c>
      <c r="G26" s="19"/>
      <c r="H26" s="4"/>
    </row>
    <row r="27" spans="1:8" ht="15" customHeight="1" x14ac:dyDescent="0.3">
      <c r="A27" s="5">
        <v>26</v>
      </c>
      <c r="B27" s="5" t="s">
        <v>471</v>
      </c>
      <c r="C27" s="4" t="s">
        <v>472</v>
      </c>
      <c r="D27" s="5" t="s">
        <v>447</v>
      </c>
      <c r="E27" s="4" t="s">
        <v>479</v>
      </c>
      <c r="F27" s="5" t="s">
        <v>56</v>
      </c>
      <c r="G27" s="19"/>
      <c r="H27" s="4"/>
    </row>
    <row r="28" spans="1:8" ht="15" customHeight="1" x14ac:dyDescent="0.3">
      <c r="A28" s="5">
        <v>27</v>
      </c>
      <c r="B28" s="5" t="s">
        <v>471</v>
      </c>
      <c r="C28" s="4" t="s">
        <v>472</v>
      </c>
      <c r="D28" s="5" t="s">
        <v>447</v>
      </c>
      <c r="E28" s="4" t="s">
        <v>480</v>
      </c>
      <c r="F28" s="5" t="s">
        <v>56</v>
      </c>
      <c r="G28" s="19"/>
      <c r="H28" s="4"/>
    </row>
    <row r="29" spans="1:8" ht="15" customHeight="1" x14ac:dyDescent="0.3">
      <c r="A29" s="5">
        <v>28</v>
      </c>
      <c r="B29" s="5" t="s">
        <v>471</v>
      </c>
      <c r="C29" s="4" t="s">
        <v>472</v>
      </c>
      <c r="D29" s="5" t="s">
        <v>447</v>
      </c>
      <c r="E29" s="4" t="s">
        <v>481</v>
      </c>
      <c r="F29" s="5" t="s">
        <v>56</v>
      </c>
      <c r="G29" s="19"/>
      <c r="H29" s="4"/>
    </row>
    <row r="30" spans="1:8" ht="15" customHeight="1" x14ac:dyDescent="0.3">
      <c r="A30" s="5">
        <v>29</v>
      </c>
      <c r="B30" s="5" t="s">
        <v>482</v>
      </c>
      <c r="C30" s="4" t="s">
        <v>483</v>
      </c>
      <c r="D30" s="5" t="s">
        <v>451</v>
      </c>
      <c r="E30" s="4" t="s">
        <v>484</v>
      </c>
      <c r="F30" s="5" t="s">
        <v>56</v>
      </c>
      <c r="G30" s="19"/>
      <c r="H30" s="4"/>
    </row>
    <row r="31" spans="1:8" ht="15" customHeight="1" x14ac:dyDescent="0.3">
      <c r="A31" s="5">
        <v>30</v>
      </c>
      <c r="B31" s="5" t="s">
        <v>482</v>
      </c>
      <c r="C31" s="4" t="s">
        <v>483</v>
      </c>
      <c r="D31" s="5" t="s">
        <v>451</v>
      </c>
      <c r="E31" s="4" t="s">
        <v>485</v>
      </c>
      <c r="F31" s="5" t="s">
        <v>56</v>
      </c>
      <c r="G31" s="19"/>
      <c r="H31" s="4"/>
    </row>
    <row r="32" spans="1:8" ht="15" customHeight="1" x14ac:dyDescent="0.3">
      <c r="A32" s="5">
        <v>31</v>
      </c>
      <c r="B32" s="5" t="s">
        <v>482</v>
      </c>
      <c r="C32" s="4" t="s">
        <v>483</v>
      </c>
      <c r="D32" s="5" t="s">
        <v>451</v>
      </c>
      <c r="E32" s="4" t="s">
        <v>486</v>
      </c>
      <c r="F32" s="5" t="s">
        <v>56</v>
      </c>
      <c r="G32" s="19"/>
      <c r="H32" s="4"/>
    </row>
    <row r="33" spans="1:8" ht="15" customHeight="1" x14ac:dyDescent="0.3">
      <c r="A33" s="5">
        <v>32</v>
      </c>
      <c r="B33" s="5" t="s">
        <v>482</v>
      </c>
      <c r="C33" s="4" t="s">
        <v>483</v>
      </c>
      <c r="D33" s="5" t="s">
        <v>447</v>
      </c>
      <c r="E33" s="4" t="s">
        <v>487</v>
      </c>
      <c r="F33" s="5" t="s">
        <v>56</v>
      </c>
      <c r="G33" s="19"/>
      <c r="H33" s="4"/>
    </row>
    <row r="34" spans="1:8" ht="15" customHeight="1" x14ac:dyDescent="0.3">
      <c r="A34" s="5">
        <v>33</v>
      </c>
      <c r="B34" s="5" t="s">
        <v>482</v>
      </c>
      <c r="C34" s="4" t="s">
        <v>483</v>
      </c>
      <c r="D34" s="5" t="s">
        <v>488</v>
      </c>
      <c r="E34" s="4" t="s">
        <v>489</v>
      </c>
      <c r="F34" s="5" t="s">
        <v>56</v>
      </c>
      <c r="G34" s="19"/>
      <c r="H34" s="4"/>
    </row>
    <row r="35" spans="1:8" ht="15" customHeight="1" x14ac:dyDescent="0.3">
      <c r="A35" s="5">
        <v>34</v>
      </c>
      <c r="B35" s="5" t="s">
        <v>482</v>
      </c>
      <c r="C35" s="4" t="s">
        <v>483</v>
      </c>
      <c r="D35" s="5" t="s">
        <v>488</v>
      </c>
      <c r="E35" s="4" t="s">
        <v>490</v>
      </c>
      <c r="F35" s="5" t="s">
        <v>56</v>
      </c>
      <c r="G35" s="19"/>
      <c r="H35" s="4"/>
    </row>
    <row r="36" spans="1:8" ht="15" customHeight="1" x14ac:dyDescent="0.3">
      <c r="A36" s="5">
        <v>35</v>
      </c>
      <c r="B36" s="5" t="s">
        <v>491</v>
      </c>
      <c r="C36" s="4" t="s">
        <v>492</v>
      </c>
      <c r="D36" s="5" t="s">
        <v>451</v>
      </c>
      <c r="E36" s="4" t="s">
        <v>493</v>
      </c>
      <c r="F36" s="5" t="s">
        <v>56</v>
      </c>
      <c r="G36" s="19"/>
      <c r="H36" s="4"/>
    </row>
    <row r="37" spans="1:8" ht="15" customHeight="1" x14ac:dyDescent="0.3">
      <c r="A37" s="5">
        <v>36</v>
      </c>
      <c r="B37" s="5" t="s">
        <v>491</v>
      </c>
      <c r="C37" s="4" t="s">
        <v>492</v>
      </c>
      <c r="D37" s="5" t="s">
        <v>451</v>
      </c>
      <c r="E37" s="4" t="s">
        <v>494</v>
      </c>
      <c r="F37" s="5" t="s">
        <v>56</v>
      </c>
      <c r="G37" s="19"/>
      <c r="H37" s="4"/>
    </row>
    <row r="38" spans="1:8" ht="15" customHeight="1" x14ac:dyDescent="0.3">
      <c r="A38" s="5">
        <v>37</v>
      </c>
      <c r="B38" s="5" t="s">
        <v>491</v>
      </c>
      <c r="C38" s="4" t="s">
        <v>492</v>
      </c>
      <c r="D38" s="5" t="s">
        <v>451</v>
      </c>
      <c r="E38" s="4" t="s">
        <v>495</v>
      </c>
      <c r="F38" s="5" t="s">
        <v>56</v>
      </c>
      <c r="G38" s="19"/>
      <c r="H38" s="4"/>
    </row>
    <row r="39" spans="1:8" ht="15" customHeight="1" x14ac:dyDescent="0.3">
      <c r="A39" s="5">
        <v>38</v>
      </c>
      <c r="B39" s="5" t="s">
        <v>491</v>
      </c>
      <c r="C39" s="4" t="s">
        <v>492</v>
      </c>
      <c r="D39" s="5" t="s">
        <v>451</v>
      </c>
      <c r="E39" s="4" t="s">
        <v>496</v>
      </c>
      <c r="F39" s="5" t="s">
        <v>56</v>
      </c>
      <c r="G39" s="19"/>
      <c r="H39" s="4"/>
    </row>
    <row r="40" spans="1:8" ht="15" customHeight="1" x14ac:dyDescent="0.3">
      <c r="A40" s="5">
        <v>39</v>
      </c>
      <c r="B40" s="5" t="s">
        <v>491</v>
      </c>
      <c r="C40" s="4" t="s">
        <v>492</v>
      </c>
      <c r="D40" s="5" t="s">
        <v>497</v>
      </c>
      <c r="E40" s="4" t="s">
        <v>498</v>
      </c>
      <c r="F40" s="5" t="s">
        <v>56</v>
      </c>
      <c r="G40" s="19"/>
      <c r="H40" s="4"/>
    </row>
    <row r="41" spans="1:8" ht="15" customHeight="1" x14ac:dyDescent="0.3">
      <c r="A41" s="5">
        <v>40</v>
      </c>
      <c r="B41" s="5" t="s">
        <v>491</v>
      </c>
      <c r="C41" s="4" t="s">
        <v>492</v>
      </c>
      <c r="D41" s="5" t="s">
        <v>447</v>
      </c>
      <c r="E41" s="4" t="s">
        <v>499</v>
      </c>
      <c r="F41" s="5" t="s">
        <v>56</v>
      </c>
      <c r="G41" s="19"/>
      <c r="H41" s="4"/>
    </row>
    <row r="42" spans="1:8" ht="15" customHeight="1" x14ac:dyDescent="0.3">
      <c r="A42" s="5">
        <v>41</v>
      </c>
      <c r="B42" s="5" t="s">
        <v>491</v>
      </c>
      <c r="C42" s="4" t="s">
        <v>492</v>
      </c>
      <c r="D42" s="5" t="s">
        <v>488</v>
      </c>
      <c r="E42" s="4" t="s">
        <v>500</v>
      </c>
      <c r="F42" s="5" t="s">
        <v>56</v>
      </c>
      <c r="G42" s="19"/>
      <c r="H42" s="4"/>
    </row>
    <row r="43" spans="1:8" ht="15" customHeight="1" x14ac:dyDescent="0.3">
      <c r="A43" s="5">
        <v>42</v>
      </c>
      <c r="B43" s="5" t="s">
        <v>491</v>
      </c>
      <c r="C43" s="4" t="s">
        <v>492</v>
      </c>
      <c r="D43" s="5" t="s">
        <v>488</v>
      </c>
      <c r="E43" s="4" t="s">
        <v>501</v>
      </c>
      <c r="F43" s="5" t="s">
        <v>56</v>
      </c>
      <c r="G43" s="19"/>
      <c r="H43" s="4"/>
    </row>
    <row r="44" spans="1:8" ht="15" customHeight="1" x14ac:dyDescent="0.3">
      <c r="A44" s="5">
        <v>43</v>
      </c>
      <c r="B44" s="5" t="s">
        <v>502</v>
      </c>
      <c r="C44" s="4" t="s">
        <v>503</v>
      </c>
      <c r="D44" s="5" t="s">
        <v>451</v>
      </c>
      <c r="E44" s="4" t="s">
        <v>504</v>
      </c>
      <c r="F44" s="5" t="s">
        <v>56</v>
      </c>
      <c r="G44" s="19"/>
      <c r="H44" s="4"/>
    </row>
    <row r="45" spans="1:8" ht="15" customHeight="1" x14ac:dyDescent="0.3">
      <c r="A45" s="5">
        <v>44</v>
      </c>
      <c r="B45" s="5" t="s">
        <v>502</v>
      </c>
      <c r="C45" s="4" t="s">
        <v>503</v>
      </c>
      <c r="D45" s="5" t="s">
        <v>451</v>
      </c>
      <c r="E45" s="4" t="s">
        <v>505</v>
      </c>
      <c r="F45" s="5" t="s">
        <v>56</v>
      </c>
      <c r="G45" s="19"/>
      <c r="H45" s="4"/>
    </row>
    <row r="46" spans="1:8" ht="15" customHeight="1" x14ac:dyDescent="0.3">
      <c r="A46" s="5">
        <v>45</v>
      </c>
      <c r="B46" s="5" t="s">
        <v>502</v>
      </c>
      <c r="C46" s="4" t="s">
        <v>503</v>
      </c>
      <c r="D46" s="5" t="s">
        <v>451</v>
      </c>
      <c r="E46" s="4" t="s">
        <v>506</v>
      </c>
      <c r="F46" s="5" t="s">
        <v>56</v>
      </c>
      <c r="G46" s="19"/>
      <c r="H46" s="4"/>
    </row>
    <row r="47" spans="1:8" ht="15" customHeight="1" x14ac:dyDescent="0.3">
      <c r="A47" s="5">
        <v>46</v>
      </c>
      <c r="B47" s="5" t="s">
        <v>502</v>
      </c>
      <c r="C47" s="4" t="s">
        <v>503</v>
      </c>
      <c r="D47" s="5" t="s">
        <v>451</v>
      </c>
      <c r="E47" s="4" t="s">
        <v>507</v>
      </c>
      <c r="F47" s="5" t="s">
        <v>56</v>
      </c>
      <c r="G47" s="19"/>
      <c r="H47" s="4"/>
    </row>
    <row r="48" spans="1:8" ht="15" customHeight="1" x14ac:dyDescent="0.3">
      <c r="A48" s="5">
        <v>47</v>
      </c>
      <c r="B48" s="5" t="s">
        <v>502</v>
      </c>
      <c r="C48" s="4" t="s">
        <v>503</v>
      </c>
      <c r="D48" s="5" t="s">
        <v>447</v>
      </c>
      <c r="E48" s="4" t="s">
        <v>508</v>
      </c>
      <c r="F48" s="5" t="s">
        <v>56</v>
      </c>
      <c r="G48" s="19"/>
      <c r="H48" s="4"/>
    </row>
    <row r="49" spans="1:8" ht="15" customHeight="1" x14ac:dyDescent="0.3">
      <c r="A49" s="5">
        <v>48</v>
      </c>
      <c r="B49" s="5" t="s">
        <v>502</v>
      </c>
      <c r="C49" s="4" t="s">
        <v>503</v>
      </c>
      <c r="D49" s="5" t="s">
        <v>488</v>
      </c>
      <c r="E49" s="4" t="s">
        <v>509</v>
      </c>
      <c r="F49" s="5" t="s">
        <v>56</v>
      </c>
      <c r="G49" s="19"/>
      <c r="H49" s="4"/>
    </row>
    <row r="50" spans="1:8" ht="15" customHeight="1" x14ac:dyDescent="0.3">
      <c r="A50" s="5">
        <v>49</v>
      </c>
      <c r="B50" s="5" t="s">
        <v>502</v>
      </c>
      <c r="C50" s="4" t="s">
        <v>503</v>
      </c>
      <c r="D50" s="5" t="s">
        <v>488</v>
      </c>
      <c r="E50" s="4" t="s">
        <v>510</v>
      </c>
      <c r="F50" s="5" t="s">
        <v>56</v>
      </c>
      <c r="G50" s="19"/>
      <c r="H50" s="4"/>
    </row>
    <row r="51" spans="1:8" ht="15" customHeight="1" x14ac:dyDescent="0.3">
      <c r="A51" s="5">
        <v>50</v>
      </c>
      <c r="B51" s="5" t="s">
        <v>511</v>
      </c>
      <c r="C51" s="4" t="s">
        <v>512</v>
      </c>
      <c r="D51" s="5" t="s">
        <v>451</v>
      </c>
      <c r="E51" s="4" t="s">
        <v>513</v>
      </c>
      <c r="F51" s="5" t="s">
        <v>56</v>
      </c>
      <c r="G51" s="19"/>
      <c r="H51" s="4"/>
    </row>
    <row r="52" spans="1:8" ht="15" customHeight="1" x14ac:dyDescent="0.3">
      <c r="A52" s="5">
        <v>51</v>
      </c>
      <c r="B52" s="5" t="s">
        <v>511</v>
      </c>
      <c r="C52" s="4" t="s">
        <v>512</v>
      </c>
      <c r="D52" s="5" t="s">
        <v>451</v>
      </c>
      <c r="E52" s="4" t="s">
        <v>514</v>
      </c>
      <c r="F52" s="5" t="s">
        <v>56</v>
      </c>
      <c r="G52" s="19"/>
      <c r="H52" s="4"/>
    </row>
    <row r="53" spans="1:8" ht="15" customHeight="1" x14ac:dyDescent="0.3">
      <c r="A53" s="5">
        <v>52</v>
      </c>
      <c r="B53" s="5" t="s">
        <v>511</v>
      </c>
      <c r="C53" s="4" t="s">
        <v>512</v>
      </c>
      <c r="D53" s="5" t="s">
        <v>451</v>
      </c>
      <c r="E53" s="4" t="s">
        <v>515</v>
      </c>
      <c r="F53" s="5" t="s">
        <v>56</v>
      </c>
      <c r="G53" s="19"/>
      <c r="H53" s="4"/>
    </row>
    <row r="54" spans="1:8" ht="15" customHeight="1" x14ac:dyDescent="0.3">
      <c r="A54" s="5">
        <v>53</v>
      </c>
      <c r="B54" s="5" t="s">
        <v>511</v>
      </c>
      <c r="C54" s="4" t="s">
        <v>512</v>
      </c>
      <c r="D54" s="5" t="s">
        <v>451</v>
      </c>
      <c r="E54" s="4" t="s">
        <v>516</v>
      </c>
      <c r="F54" s="5" t="s">
        <v>56</v>
      </c>
      <c r="G54" s="19"/>
      <c r="H54" s="4"/>
    </row>
    <row r="55" spans="1:8" ht="15" customHeight="1" x14ac:dyDescent="0.3">
      <c r="A55" s="5">
        <v>54</v>
      </c>
      <c r="B55" s="5" t="s">
        <v>511</v>
      </c>
      <c r="C55" s="4" t="s">
        <v>512</v>
      </c>
      <c r="D55" s="5" t="s">
        <v>447</v>
      </c>
      <c r="E55" s="4" t="s">
        <v>517</v>
      </c>
      <c r="F55" s="5" t="s">
        <v>56</v>
      </c>
      <c r="G55" s="19"/>
      <c r="H55" s="4"/>
    </row>
    <row r="56" spans="1:8" ht="15" customHeight="1" x14ac:dyDescent="0.3">
      <c r="A56" s="5">
        <v>55</v>
      </c>
      <c r="B56" s="5" t="s">
        <v>511</v>
      </c>
      <c r="C56" s="4" t="s">
        <v>512</v>
      </c>
      <c r="D56" s="5" t="s">
        <v>447</v>
      </c>
      <c r="E56" s="4" t="s">
        <v>518</v>
      </c>
      <c r="F56" s="5" t="s">
        <v>56</v>
      </c>
      <c r="G56" s="19"/>
      <c r="H56" s="4"/>
    </row>
    <row r="57" spans="1:8" ht="15" customHeight="1" x14ac:dyDescent="0.3">
      <c r="A57" s="5">
        <v>56</v>
      </c>
      <c r="B57" s="5" t="s">
        <v>511</v>
      </c>
      <c r="C57" s="4" t="s">
        <v>512</v>
      </c>
      <c r="D57" s="5" t="s">
        <v>447</v>
      </c>
      <c r="E57" s="4" t="s">
        <v>519</v>
      </c>
      <c r="F57" s="5" t="s">
        <v>56</v>
      </c>
      <c r="G57" s="19"/>
      <c r="H57" s="4"/>
    </row>
    <row r="58" spans="1:8" ht="15" customHeight="1" x14ac:dyDescent="0.3">
      <c r="A58" s="5">
        <v>57</v>
      </c>
      <c r="B58" s="5" t="s">
        <v>520</v>
      </c>
      <c r="C58" s="4" t="s">
        <v>521</v>
      </c>
      <c r="D58" s="5" t="s">
        <v>451</v>
      </c>
      <c r="E58" s="4" t="s">
        <v>522</v>
      </c>
      <c r="F58" s="5" t="s">
        <v>56</v>
      </c>
      <c r="G58" s="19"/>
      <c r="H58" s="4"/>
    </row>
    <row r="59" spans="1:8" ht="15" customHeight="1" x14ac:dyDescent="0.3">
      <c r="A59" s="5">
        <v>58</v>
      </c>
      <c r="B59" s="5" t="s">
        <v>520</v>
      </c>
      <c r="C59" s="4" t="s">
        <v>521</v>
      </c>
      <c r="D59" s="5" t="s">
        <v>451</v>
      </c>
      <c r="E59" s="4" t="s">
        <v>523</v>
      </c>
      <c r="F59" s="5" t="s">
        <v>56</v>
      </c>
      <c r="G59" s="19"/>
      <c r="H59" s="4"/>
    </row>
    <row r="60" spans="1:8" ht="15" customHeight="1" x14ac:dyDescent="0.3">
      <c r="A60" s="5">
        <v>59</v>
      </c>
      <c r="B60" s="5" t="s">
        <v>520</v>
      </c>
      <c r="C60" s="4" t="s">
        <v>521</v>
      </c>
      <c r="D60" s="5" t="s">
        <v>451</v>
      </c>
      <c r="E60" s="4" t="s">
        <v>524</v>
      </c>
      <c r="F60" s="5" t="s">
        <v>56</v>
      </c>
      <c r="G60" s="19"/>
      <c r="H60" s="4"/>
    </row>
    <row r="61" spans="1:8" ht="15" customHeight="1" x14ac:dyDescent="0.3">
      <c r="A61" s="5">
        <v>60</v>
      </c>
      <c r="B61" s="5" t="s">
        <v>520</v>
      </c>
      <c r="C61" s="4" t="s">
        <v>521</v>
      </c>
      <c r="D61" s="5" t="s">
        <v>447</v>
      </c>
      <c r="E61" s="4" t="s">
        <v>525</v>
      </c>
      <c r="F61" s="5" t="s">
        <v>56</v>
      </c>
      <c r="G61" s="19"/>
      <c r="H61" s="4"/>
    </row>
    <row r="62" spans="1:8" ht="15" customHeight="1" x14ac:dyDescent="0.3">
      <c r="A62" s="5">
        <v>61</v>
      </c>
      <c r="B62" s="5" t="s">
        <v>520</v>
      </c>
      <c r="C62" s="4" t="s">
        <v>521</v>
      </c>
      <c r="D62" s="5" t="s">
        <v>447</v>
      </c>
      <c r="E62" s="4" t="s">
        <v>526</v>
      </c>
      <c r="F62" s="5" t="s">
        <v>56</v>
      </c>
      <c r="G62" s="19"/>
      <c r="H62" s="4"/>
    </row>
    <row r="63" spans="1:8" ht="15" customHeight="1" x14ac:dyDescent="0.3">
      <c r="A63" s="5">
        <v>62</v>
      </c>
      <c r="B63" s="5" t="s">
        <v>520</v>
      </c>
      <c r="C63" s="4" t="s">
        <v>521</v>
      </c>
      <c r="D63" s="5" t="s">
        <v>447</v>
      </c>
      <c r="E63" s="4" t="s">
        <v>527</v>
      </c>
      <c r="F63" s="5" t="s">
        <v>56</v>
      </c>
      <c r="G63" s="19"/>
      <c r="H63" s="4"/>
    </row>
    <row r="64" spans="1:8" ht="15" customHeight="1" x14ac:dyDescent="0.3">
      <c r="A64" s="5">
        <v>63</v>
      </c>
      <c r="B64" s="5" t="s">
        <v>520</v>
      </c>
      <c r="C64" s="4" t="s">
        <v>521</v>
      </c>
      <c r="D64" s="5" t="s">
        <v>447</v>
      </c>
      <c r="E64" s="4" t="s">
        <v>528</v>
      </c>
      <c r="F64" s="5" t="s">
        <v>56</v>
      </c>
      <c r="G64" s="19"/>
      <c r="H64" s="4"/>
    </row>
    <row r="65" spans="1:8" ht="15" customHeight="1" x14ac:dyDescent="0.3">
      <c r="A65" s="5">
        <v>64</v>
      </c>
      <c r="B65" s="5" t="s">
        <v>529</v>
      </c>
      <c r="C65" s="4" t="s">
        <v>530</v>
      </c>
      <c r="D65" s="5" t="s">
        <v>451</v>
      </c>
      <c r="E65" s="4" t="s">
        <v>531</v>
      </c>
      <c r="F65" s="5" t="s">
        <v>56</v>
      </c>
      <c r="G65" s="19"/>
      <c r="H65" s="4"/>
    </row>
    <row r="66" spans="1:8" ht="15" customHeight="1" x14ac:dyDescent="0.3">
      <c r="A66" s="5">
        <v>65</v>
      </c>
      <c r="B66" s="5" t="s">
        <v>529</v>
      </c>
      <c r="C66" s="4" t="s">
        <v>530</v>
      </c>
      <c r="D66" s="5" t="s">
        <v>451</v>
      </c>
      <c r="E66" s="4" t="s">
        <v>532</v>
      </c>
      <c r="F66" s="5" t="s">
        <v>56</v>
      </c>
      <c r="G66" s="19"/>
      <c r="H66" s="4"/>
    </row>
    <row r="67" spans="1:8" ht="15" customHeight="1" x14ac:dyDescent="0.3">
      <c r="A67" s="5">
        <v>66</v>
      </c>
      <c r="B67" s="5" t="s">
        <v>529</v>
      </c>
      <c r="C67" s="4" t="s">
        <v>530</v>
      </c>
      <c r="D67" s="5" t="s">
        <v>451</v>
      </c>
      <c r="E67" s="4" t="s">
        <v>533</v>
      </c>
      <c r="F67" s="5" t="s">
        <v>56</v>
      </c>
      <c r="G67" s="19"/>
      <c r="H67" s="4"/>
    </row>
    <row r="68" spans="1:8" ht="15" customHeight="1" x14ac:dyDescent="0.3">
      <c r="A68" s="5">
        <v>67</v>
      </c>
      <c r="B68" s="5" t="s">
        <v>529</v>
      </c>
      <c r="C68" s="4" t="s">
        <v>530</v>
      </c>
      <c r="D68" s="5" t="s">
        <v>451</v>
      </c>
      <c r="E68" s="4" t="s">
        <v>534</v>
      </c>
      <c r="F68" s="5" t="s">
        <v>56</v>
      </c>
      <c r="G68" s="19"/>
      <c r="H68" s="4"/>
    </row>
    <row r="69" spans="1:8" ht="15" customHeight="1" x14ac:dyDescent="0.3">
      <c r="A69" s="5">
        <v>68</v>
      </c>
      <c r="B69" s="5" t="s">
        <v>529</v>
      </c>
      <c r="C69" s="4" t="s">
        <v>530</v>
      </c>
      <c r="D69" s="5" t="s">
        <v>451</v>
      </c>
      <c r="E69" s="4" t="s">
        <v>535</v>
      </c>
      <c r="F69" s="5" t="s">
        <v>56</v>
      </c>
      <c r="G69" s="19"/>
      <c r="H69" s="4"/>
    </row>
    <row r="70" spans="1:8" ht="15" customHeight="1" x14ac:dyDescent="0.3">
      <c r="A70" s="5">
        <v>69</v>
      </c>
      <c r="B70" s="5" t="s">
        <v>529</v>
      </c>
      <c r="C70" s="4" t="s">
        <v>530</v>
      </c>
      <c r="D70" s="5" t="s">
        <v>451</v>
      </c>
      <c r="E70" s="4" t="s">
        <v>536</v>
      </c>
      <c r="F70" s="5" t="s">
        <v>56</v>
      </c>
      <c r="G70" s="19"/>
      <c r="H70" s="4"/>
    </row>
    <row r="71" spans="1:8" ht="15" customHeight="1" x14ac:dyDescent="0.3">
      <c r="A71" s="5">
        <v>70</v>
      </c>
      <c r="B71" s="5" t="s">
        <v>529</v>
      </c>
      <c r="C71" s="4" t="s">
        <v>530</v>
      </c>
      <c r="D71" s="5" t="s">
        <v>447</v>
      </c>
      <c r="E71" s="4" t="s">
        <v>537</v>
      </c>
      <c r="F71" s="5" t="s">
        <v>56</v>
      </c>
      <c r="G71" s="19"/>
      <c r="H71" s="4"/>
    </row>
    <row r="72" spans="1:8" ht="15" customHeight="1" x14ac:dyDescent="0.3">
      <c r="A72" s="5">
        <v>71</v>
      </c>
      <c r="B72" s="5" t="s">
        <v>529</v>
      </c>
      <c r="C72" s="4" t="s">
        <v>530</v>
      </c>
      <c r="D72" s="5" t="s">
        <v>447</v>
      </c>
      <c r="E72" s="4" t="s">
        <v>538</v>
      </c>
      <c r="F72" s="5" t="s">
        <v>56</v>
      </c>
      <c r="G72" s="19"/>
      <c r="H72" s="4"/>
    </row>
    <row r="73" spans="1:8" ht="15" customHeight="1" x14ac:dyDescent="0.3">
      <c r="A73" s="5">
        <v>72</v>
      </c>
      <c r="B73" s="5" t="s">
        <v>529</v>
      </c>
      <c r="C73" s="4" t="s">
        <v>530</v>
      </c>
      <c r="D73" s="5" t="s">
        <v>447</v>
      </c>
      <c r="E73" s="4" t="s">
        <v>539</v>
      </c>
      <c r="F73" s="5" t="s">
        <v>56</v>
      </c>
      <c r="G73" s="19"/>
      <c r="H73" s="4"/>
    </row>
    <row r="74" spans="1:8" ht="15" customHeight="1" x14ac:dyDescent="0.3">
      <c r="A74" s="5">
        <v>73</v>
      </c>
      <c r="B74" s="5" t="s">
        <v>529</v>
      </c>
      <c r="C74" s="4" t="s">
        <v>530</v>
      </c>
      <c r="D74" s="5" t="s">
        <v>488</v>
      </c>
      <c r="E74" s="4" t="s">
        <v>540</v>
      </c>
      <c r="F74" s="5" t="s">
        <v>56</v>
      </c>
      <c r="G74" s="19"/>
      <c r="H74" s="4"/>
    </row>
    <row r="75" spans="1:8" ht="15" customHeight="1" x14ac:dyDescent="0.3">
      <c r="A75" s="5">
        <v>74</v>
      </c>
      <c r="B75" s="5" t="s">
        <v>529</v>
      </c>
      <c r="C75" s="4" t="s">
        <v>530</v>
      </c>
      <c r="D75" s="5" t="s">
        <v>488</v>
      </c>
      <c r="E75" s="4" t="s">
        <v>541</v>
      </c>
      <c r="F75" s="5" t="s">
        <v>56</v>
      </c>
      <c r="G75" s="19"/>
      <c r="H75" s="4"/>
    </row>
    <row r="76" spans="1:8" ht="15" customHeight="1" x14ac:dyDescent="0.3">
      <c r="A76" s="5">
        <v>75</v>
      </c>
      <c r="B76" s="5" t="s">
        <v>542</v>
      </c>
      <c r="C76" s="4" t="s">
        <v>543</v>
      </c>
      <c r="D76" s="5" t="s">
        <v>451</v>
      </c>
      <c r="E76" s="4" t="s">
        <v>544</v>
      </c>
      <c r="F76" s="5" t="s">
        <v>56</v>
      </c>
      <c r="G76" s="19"/>
      <c r="H76" s="4"/>
    </row>
    <row r="77" spans="1:8" ht="15" customHeight="1" x14ac:dyDescent="0.3">
      <c r="A77" s="5">
        <v>76</v>
      </c>
      <c r="B77" s="5" t="s">
        <v>542</v>
      </c>
      <c r="C77" s="4" t="s">
        <v>543</v>
      </c>
      <c r="D77" s="5" t="s">
        <v>451</v>
      </c>
      <c r="E77" s="4" t="s">
        <v>545</v>
      </c>
      <c r="F77" s="5" t="s">
        <v>56</v>
      </c>
      <c r="G77" s="19"/>
      <c r="H77" s="4"/>
    </row>
    <row r="78" spans="1:8" ht="15" customHeight="1" x14ac:dyDescent="0.3">
      <c r="A78" s="5">
        <v>77</v>
      </c>
      <c r="B78" s="5" t="s">
        <v>542</v>
      </c>
      <c r="C78" s="4" t="s">
        <v>543</v>
      </c>
      <c r="D78" s="5" t="s">
        <v>451</v>
      </c>
      <c r="E78" s="4" t="s">
        <v>546</v>
      </c>
      <c r="F78" s="5" t="s">
        <v>56</v>
      </c>
      <c r="G78" s="19"/>
      <c r="H78" s="4"/>
    </row>
    <row r="79" spans="1:8" ht="15" customHeight="1" x14ac:dyDescent="0.3">
      <c r="A79" s="5">
        <v>78</v>
      </c>
      <c r="B79" s="5" t="s">
        <v>542</v>
      </c>
      <c r="C79" s="4" t="s">
        <v>543</v>
      </c>
      <c r="D79" s="5" t="s">
        <v>451</v>
      </c>
      <c r="E79" s="4" t="s">
        <v>547</v>
      </c>
      <c r="F79" s="5" t="s">
        <v>56</v>
      </c>
      <c r="G79" s="19"/>
      <c r="H79" s="4"/>
    </row>
    <row r="80" spans="1:8" ht="15" customHeight="1" x14ac:dyDescent="0.3">
      <c r="A80" s="5">
        <v>79</v>
      </c>
      <c r="B80" s="5" t="s">
        <v>542</v>
      </c>
      <c r="C80" s="4" t="s">
        <v>543</v>
      </c>
      <c r="D80" s="5" t="s">
        <v>447</v>
      </c>
      <c r="E80" s="4" t="s">
        <v>548</v>
      </c>
      <c r="F80" s="5" t="s">
        <v>56</v>
      </c>
      <c r="G80" s="19"/>
      <c r="H80" s="4"/>
    </row>
    <row r="81" spans="1:8" ht="15" customHeight="1" x14ac:dyDescent="0.3">
      <c r="A81" s="5">
        <v>80</v>
      </c>
      <c r="B81" s="5" t="s">
        <v>542</v>
      </c>
      <c r="C81" s="4" t="s">
        <v>543</v>
      </c>
      <c r="D81" s="5" t="s">
        <v>447</v>
      </c>
      <c r="E81" s="4" t="s">
        <v>549</v>
      </c>
      <c r="F81" s="5" t="s">
        <v>56</v>
      </c>
      <c r="G81" s="19"/>
      <c r="H81" s="4"/>
    </row>
    <row r="82" spans="1:8" ht="15" customHeight="1" x14ac:dyDescent="0.3">
      <c r="A82" s="5">
        <v>81</v>
      </c>
      <c r="B82" s="5" t="s">
        <v>542</v>
      </c>
      <c r="C82" s="4" t="s">
        <v>543</v>
      </c>
      <c r="D82" s="5" t="s">
        <v>447</v>
      </c>
      <c r="E82" s="4" t="s">
        <v>550</v>
      </c>
      <c r="F82" s="5" t="s">
        <v>56</v>
      </c>
      <c r="G82" s="19"/>
      <c r="H82" s="4"/>
    </row>
    <row r="83" spans="1:8" ht="15" customHeight="1" x14ac:dyDescent="0.3">
      <c r="A83" s="5">
        <v>82</v>
      </c>
      <c r="B83" s="5" t="s">
        <v>542</v>
      </c>
      <c r="C83" s="4" t="s">
        <v>543</v>
      </c>
      <c r="D83" s="5" t="s">
        <v>447</v>
      </c>
      <c r="E83" s="4" t="s">
        <v>551</v>
      </c>
      <c r="F83" s="5" t="s">
        <v>56</v>
      </c>
      <c r="G83" s="19"/>
      <c r="H83" s="4"/>
    </row>
    <row r="84" spans="1:8" ht="15" customHeight="1" x14ac:dyDescent="0.3">
      <c r="A84" s="5">
        <v>83</v>
      </c>
      <c r="B84" s="5" t="s">
        <v>552</v>
      </c>
      <c r="C84" s="4" t="s">
        <v>553</v>
      </c>
      <c r="D84" s="5" t="s">
        <v>451</v>
      </c>
      <c r="E84" s="4" t="s">
        <v>554</v>
      </c>
      <c r="F84" s="5" t="s">
        <v>56</v>
      </c>
      <c r="G84" s="19"/>
      <c r="H84" s="4"/>
    </row>
    <row r="85" spans="1:8" ht="15" customHeight="1" x14ac:dyDescent="0.3">
      <c r="A85" s="5">
        <v>84</v>
      </c>
      <c r="B85" s="5" t="s">
        <v>552</v>
      </c>
      <c r="C85" s="4" t="s">
        <v>553</v>
      </c>
      <c r="D85" s="5" t="s">
        <v>451</v>
      </c>
      <c r="E85" s="4" t="s">
        <v>555</v>
      </c>
      <c r="F85" s="5" t="s">
        <v>56</v>
      </c>
      <c r="G85" s="19"/>
      <c r="H85" s="4"/>
    </row>
    <row r="86" spans="1:8" ht="15" customHeight="1" x14ac:dyDescent="0.3">
      <c r="A86" s="5">
        <v>85</v>
      </c>
      <c r="B86" s="5" t="s">
        <v>552</v>
      </c>
      <c r="C86" s="4" t="s">
        <v>553</v>
      </c>
      <c r="D86" s="5" t="s">
        <v>451</v>
      </c>
      <c r="E86" s="4" t="s">
        <v>556</v>
      </c>
      <c r="F86" s="5" t="s">
        <v>56</v>
      </c>
      <c r="G86" s="19"/>
      <c r="H86" s="4"/>
    </row>
    <row r="87" spans="1:8" ht="15" customHeight="1" x14ac:dyDescent="0.3">
      <c r="A87" s="5">
        <v>86</v>
      </c>
      <c r="B87" s="5" t="s">
        <v>552</v>
      </c>
      <c r="C87" s="4" t="s">
        <v>553</v>
      </c>
      <c r="D87" s="5" t="s">
        <v>451</v>
      </c>
      <c r="E87" s="4" t="s">
        <v>557</v>
      </c>
      <c r="F87" s="5" t="s">
        <v>56</v>
      </c>
      <c r="G87" s="19"/>
      <c r="H87" s="4"/>
    </row>
    <row r="88" spans="1:8" ht="15" customHeight="1" x14ac:dyDescent="0.3">
      <c r="A88" s="5">
        <v>87</v>
      </c>
      <c r="B88" s="5" t="s">
        <v>552</v>
      </c>
      <c r="C88" s="4" t="s">
        <v>553</v>
      </c>
      <c r="D88" s="5" t="s">
        <v>451</v>
      </c>
      <c r="E88" s="4" t="s">
        <v>558</v>
      </c>
      <c r="F88" s="5" t="s">
        <v>56</v>
      </c>
      <c r="G88" s="19"/>
      <c r="H88" s="4"/>
    </row>
    <row r="89" spans="1:8" ht="15" customHeight="1" x14ac:dyDescent="0.3">
      <c r="A89" s="5">
        <v>88</v>
      </c>
      <c r="B89" s="5" t="s">
        <v>552</v>
      </c>
      <c r="C89" s="4" t="s">
        <v>553</v>
      </c>
      <c r="D89" s="5" t="s">
        <v>447</v>
      </c>
      <c r="E89" s="4" t="s">
        <v>559</v>
      </c>
      <c r="F89" s="5" t="s">
        <v>56</v>
      </c>
      <c r="G89" s="19"/>
      <c r="H89" s="4"/>
    </row>
    <row r="90" spans="1:8" ht="15" customHeight="1" x14ac:dyDescent="0.3">
      <c r="A90" s="5">
        <v>89</v>
      </c>
      <c r="B90" s="5" t="s">
        <v>552</v>
      </c>
      <c r="C90" s="4" t="s">
        <v>553</v>
      </c>
      <c r="D90" s="5" t="s">
        <v>447</v>
      </c>
      <c r="E90" s="4" t="s">
        <v>560</v>
      </c>
      <c r="F90" s="5" t="s">
        <v>56</v>
      </c>
      <c r="G90" s="19"/>
      <c r="H90" s="4"/>
    </row>
    <row r="91" spans="1:8" ht="15" customHeight="1" x14ac:dyDescent="0.3">
      <c r="A91" s="5">
        <v>90</v>
      </c>
      <c r="B91" s="5" t="s">
        <v>552</v>
      </c>
      <c r="C91" s="4" t="s">
        <v>553</v>
      </c>
      <c r="D91" s="5" t="s">
        <v>447</v>
      </c>
      <c r="E91" s="4" t="s">
        <v>561</v>
      </c>
      <c r="F91" s="5" t="s">
        <v>56</v>
      </c>
      <c r="G91" s="19"/>
      <c r="H91" s="4"/>
    </row>
    <row r="92" spans="1:8" ht="15" customHeight="1" x14ac:dyDescent="0.3">
      <c r="A92" s="5">
        <v>91</v>
      </c>
      <c r="B92" s="5" t="s">
        <v>552</v>
      </c>
      <c r="C92" s="4" t="s">
        <v>553</v>
      </c>
      <c r="D92" s="5" t="s">
        <v>488</v>
      </c>
      <c r="E92" s="4" t="s">
        <v>562</v>
      </c>
      <c r="F92" s="5" t="s">
        <v>56</v>
      </c>
      <c r="G92" s="19"/>
      <c r="H92" s="4"/>
    </row>
    <row r="93" spans="1:8" ht="15" customHeight="1" x14ac:dyDescent="0.3">
      <c r="A93" s="5">
        <v>92</v>
      </c>
      <c r="B93" s="5" t="s">
        <v>552</v>
      </c>
      <c r="C93" s="4" t="s">
        <v>553</v>
      </c>
      <c r="D93" s="5" t="s">
        <v>488</v>
      </c>
      <c r="E93" s="4" t="s">
        <v>563</v>
      </c>
      <c r="F93" s="5" t="s">
        <v>56</v>
      </c>
      <c r="G93" s="19"/>
      <c r="H93" s="4"/>
    </row>
    <row r="94" spans="1:8" ht="15" customHeight="1" x14ac:dyDescent="0.3">
      <c r="A94" s="5">
        <v>93</v>
      </c>
      <c r="B94" s="5" t="s">
        <v>552</v>
      </c>
      <c r="C94" s="4" t="s">
        <v>553</v>
      </c>
      <c r="D94" s="5" t="s">
        <v>488</v>
      </c>
      <c r="E94" s="4" t="s">
        <v>564</v>
      </c>
      <c r="F94" s="5" t="s">
        <v>56</v>
      </c>
      <c r="G94" s="19"/>
      <c r="H94" s="4"/>
    </row>
    <row r="95" spans="1:8" ht="15" customHeight="1" x14ac:dyDescent="0.3">
      <c r="A95" s="5">
        <v>94</v>
      </c>
      <c r="B95" s="5" t="s">
        <v>552</v>
      </c>
      <c r="C95" s="4" t="s">
        <v>553</v>
      </c>
      <c r="D95" s="5" t="s">
        <v>488</v>
      </c>
      <c r="E95" s="4" t="s">
        <v>565</v>
      </c>
      <c r="F95" s="5" t="s">
        <v>56</v>
      </c>
      <c r="G95" s="19"/>
      <c r="H95" s="4"/>
    </row>
    <row r="96" spans="1:8" ht="15" customHeight="1" x14ac:dyDescent="0.3">
      <c r="A96" s="5">
        <v>95</v>
      </c>
      <c r="B96" s="5" t="s">
        <v>566</v>
      </c>
      <c r="C96" s="4" t="s">
        <v>567</v>
      </c>
      <c r="D96" s="5" t="s">
        <v>451</v>
      </c>
      <c r="E96" s="4" t="s">
        <v>568</v>
      </c>
      <c r="F96" s="5" t="s">
        <v>56</v>
      </c>
      <c r="G96" s="19"/>
      <c r="H96" s="4"/>
    </row>
    <row r="97" spans="1:8" ht="15" customHeight="1" x14ac:dyDescent="0.3">
      <c r="A97" s="5">
        <v>96</v>
      </c>
      <c r="B97" s="5" t="s">
        <v>566</v>
      </c>
      <c r="C97" s="4" t="s">
        <v>567</v>
      </c>
      <c r="D97" s="5" t="s">
        <v>451</v>
      </c>
      <c r="E97" s="4" t="s">
        <v>569</v>
      </c>
      <c r="F97" s="5" t="s">
        <v>56</v>
      </c>
      <c r="G97" s="19"/>
      <c r="H97" s="4"/>
    </row>
    <row r="98" spans="1:8" ht="15" customHeight="1" x14ac:dyDescent="0.3">
      <c r="A98" s="5">
        <v>97</v>
      </c>
      <c r="B98" s="5" t="s">
        <v>566</v>
      </c>
      <c r="C98" s="4" t="s">
        <v>567</v>
      </c>
      <c r="D98" s="5" t="s">
        <v>451</v>
      </c>
      <c r="E98" s="4" t="s">
        <v>570</v>
      </c>
      <c r="F98" s="5" t="s">
        <v>56</v>
      </c>
      <c r="G98" s="19"/>
      <c r="H98" s="4"/>
    </row>
    <row r="99" spans="1:8" ht="15" customHeight="1" x14ac:dyDescent="0.3">
      <c r="A99" s="5">
        <v>98</v>
      </c>
      <c r="B99" s="5" t="s">
        <v>566</v>
      </c>
      <c r="C99" s="4" t="s">
        <v>567</v>
      </c>
      <c r="D99" s="5" t="s">
        <v>451</v>
      </c>
      <c r="E99" s="4" t="s">
        <v>571</v>
      </c>
      <c r="F99" s="5" t="s">
        <v>56</v>
      </c>
      <c r="G99" s="19"/>
      <c r="H99" s="4"/>
    </row>
    <row r="100" spans="1:8" ht="15" customHeight="1" x14ac:dyDescent="0.3">
      <c r="A100" s="5">
        <v>99</v>
      </c>
      <c r="B100" s="5" t="s">
        <v>566</v>
      </c>
      <c r="C100" s="4" t="s">
        <v>567</v>
      </c>
      <c r="D100" s="5" t="s">
        <v>451</v>
      </c>
      <c r="E100" s="4" t="s">
        <v>572</v>
      </c>
      <c r="F100" s="5" t="s">
        <v>56</v>
      </c>
      <c r="G100" s="19"/>
      <c r="H100" s="4"/>
    </row>
    <row r="101" spans="1:8" ht="15" customHeight="1" x14ac:dyDescent="0.3">
      <c r="A101" s="5">
        <v>100</v>
      </c>
      <c r="B101" s="5" t="s">
        <v>566</v>
      </c>
      <c r="C101" s="4" t="s">
        <v>567</v>
      </c>
      <c r="D101" s="5" t="s">
        <v>451</v>
      </c>
      <c r="E101" s="4" t="s">
        <v>573</v>
      </c>
      <c r="F101" s="5" t="s">
        <v>56</v>
      </c>
      <c r="G101" s="19"/>
      <c r="H101" s="4"/>
    </row>
    <row r="102" spans="1:8" ht="15" customHeight="1" x14ac:dyDescent="0.3">
      <c r="A102" s="5">
        <v>101</v>
      </c>
      <c r="B102" s="5" t="s">
        <v>566</v>
      </c>
      <c r="C102" s="4" t="s">
        <v>567</v>
      </c>
      <c r="D102" s="5" t="s">
        <v>447</v>
      </c>
      <c r="E102" s="4" t="s">
        <v>574</v>
      </c>
      <c r="F102" s="5" t="s">
        <v>56</v>
      </c>
      <c r="G102" s="19"/>
      <c r="H102" s="4"/>
    </row>
    <row r="103" spans="1:8" ht="15" customHeight="1" x14ac:dyDescent="0.3">
      <c r="A103" s="5">
        <v>102</v>
      </c>
      <c r="B103" s="5" t="s">
        <v>566</v>
      </c>
      <c r="C103" s="4" t="s">
        <v>567</v>
      </c>
      <c r="D103" s="5" t="s">
        <v>447</v>
      </c>
      <c r="E103" s="4" t="s">
        <v>575</v>
      </c>
      <c r="F103" s="5" t="s">
        <v>56</v>
      </c>
      <c r="G103" s="19"/>
      <c r="H103" s="4"/>
    </row>
    <row r="104" spans="1:8" ht="15" customHeight="1" x14ac:dyDescent="0.3">
      <c r="A104" s="5">
        <v>103</v>
      </c>
      <c r="B104" s="5" t="s">
        <v>566</v>
      </c>
      <c r="C104" s="4" t="s">
        <v>567</v>
      </c>
      <c r="D104" s="5" t="s">
        <v>447</v>
      </c>
      <c r="E104" s="4" t="s">
        <v>576</v>
      </c>
      <c r="F104" s="5" t="s">
        <v>56</v>
      </c>
      <c r="G104" s="19"/>
      <c r="H104" s="4"/>
    </row>
    <row r="105" spans="1:8" ht="15" customHeight="1" x14ac:dyDescent="0.3">
      <c r="A105" s="5">
        <v>104</v>
      </c>
      <c r="B105" s="5" t="s">
        <v>566</v>
      </c>
      <c r="C105" s="4" t="s">
        <v>567</v>
      </c>
      <c r="D105" s="5" t="s">
        <v>447</v>
      </c>
      <c r="E105" s="4" t="s">
        <v>577</v>
      </c>
      <c r="F105" s="5" t="s">
        <v>56</v>
      </c>
      <c r="G105" s="19"/>
      <c r="H105" s="4"/>
    </row>
    <row r="106" spans="1:8" ht="15" customHeight="1" x14ac:dyDescent="0.3">
      <c r="A106" s="5">
        <v>105</v>
      </c>
      <c r="B106" s="5" t="s">
        <v>566</v>
      </c>
      <c r="C106" s="4" t="s">
        <v>567</v>
      </c>
      <c r="D106" s="5" t="s">
        <v>488</v>
      </c>
      <c r="E106" s="4" t="s">
        <v>578</v>
      </c>
      <c r="F106" s="5" t="s">
        <v>56</v>
      </c>
      <c r="G106" s="19"/>
      <c r="H106" s="4"/>
    </row>
    <row r="107" spans="1:8" ht="15" customHeight="1" x14ac:dyDescent="0.3">
      <c r="A107" s="5">
        <v>106</v>
      </c>
      <c r="B107" s="5" t="s">
        <v>566</v>
      </c>
      <c r="C107" s="4" t="s">
        <v>567</v>
      </c>
      <c r="D107" s="5" t="s">
        <v>488</v>
      </c>
      <c r="E107" s="4" t="s">
        <v>579</v>
      </c>
      <c r="F107" s="5" t="s">
        <v>56</v>
      </c>
      <c r="G107" s="19"/>
      <c r="H107" s="4"/>
    </row>
    <row r="108" spans="1:8" ht="15" customHeight="1" x14ac:dyDescent="0.3">
      <c r="A108" s="5">
        <v>107</v>
      </c>
      <c r="B108" s="5" t="s">
        <v>580</v>
      </c>
      <c r="C108" s="4" t="s">
        <v>581</v>
      </c>
      <c r="D108" s="5" t="s">
        <v>451</v>
      </c>
      <c r="E108" s="4" t="s">
        <v>582</v>
      </c>
      <c r="F108" s="5" t="s">
        <v>56</v>
      </c>
      <c r="G108" s="19"/>
      <c r="H108" s="4"/>
    </row>
    <row r="109" spans="1:8" ht="15" customHeight="1" x14ac:dyDescent="0.3">
      <c r="A109" s="5">
        <v>108</v>
      </c>
      <c r="B109" s="5" t="s">
        <v>580</v>
      </c>
      <c r="C109" s="4" t="s">
        <v>581</v>
      </c>
      <c r="D109" s="5" t="s">
        <v>451</v>
      </c>
      <c r="E109" s="4" t="s">
        <v>583</v>
      </c>
      <c r="F109" s="5" t="s">
        <v>56</v>
      </c>
      <c r="G109" s="19"/>
      <c r="H109" s="4"/>
    </row>
    <row r="110" spans="1:8" ht="15" customHeight="1" x14ac:dyDescent="0.3">
      <c r="A110" s="5">
        <v>109</v>
      </c>
      <c r="B110" s="5" t="s">
        <v>580</v>
      </c>
      <c r="C110" s="4" t="s">
        <v>581</v>
      </c>
      <c r="D110" s="5" t="s">
        <v>451</v>
      </c>
      <c r="E110" s="4" t="s">
        <v>584</v>
      </c>
      <c r="F110" s="5" t="s">
        <v>56</v>
      </c>
      <c r="G110" s="19"/>
      <c r="H110" s="4"/>
    </row>
    <row r="111" spans="1:8" ht="15" customHeight="1" x14ac:dyDescent="0.3">
      <c r="A111" s="5">
        <v>110</v>
      </c>
      <c r="B111" s="5" t="s">
        <v>580</v>
      </c>
      <c r="C111" s="4" t="s">
        <v>581</v>
      </c>
      <c r="D111" s="5" t="s">
        <v>451</v>
      </c>
      <c r="E111" s="4" t="s">
        <v>585</v>
      </c>
      <c r="F111" s="5" t="s">
        <v>56</v>
      </c>
      <c r="G111" s="19"/>
      <c r="H111" s="4"/>
    </row>
    <row r="112" spans="1:8" ht="15" customHeight="1" x14ac:dyDescent="0.3">
      <c r="A112" s="5">
        <v>111</v>
      </c>
      <c r="B112" s="5" t="s">
        <v>580</v>
      </c>
      <c r="C112" s="4" t="s">
        <v>581</v>
      </c>
      <c r="D112" s="5" t="s">
        <v>451</v>
      </c>
      <c r="E112" s="4" t="s">
        <v>586</v>
      </c>
      <c r="F112" s="5" t="s">
        <v>56</v>
      </c>
      <c r="G112" s="19"/>
      <c r="H112" s="4"/>
    </row>
    <row r="113" spans="1:8" ht="15" customHeight="1" x14ac:dyDescent="0.3">
      <c r="A113" s="5">
        <v>112</v>
      </c>
      <c r="B113" s="5" t="s">
        <v>580</v>
      </c>
      <c r="C113" s="4" t="s">
        <v>581</v>
      </c>
      <c r="D113" s="5" t="s">
        <v>447</v>
      </c>
      <c r="E113" s="4" t="s">
        <v>587</v>
      </c>
      <c r="F113" s="5" t="s">
        <v>56</v>
      </c>
      <c r="G113" s="19"/>
      <c r="H113" s="4"/>
    </row>
    <row r="114" spans="1:8" ht="15" customHeight="1" x14ac:dyDescent="0.3">
      <c r="A114" s="5">
        <v>113</v>
      </c>
      <c r="B114" s="5" t="s">
        <v>580</v>
      </c>
      <c r="C114" s="4" t="s">
        <v>581</v>
      </c>
      <c r="D114" s="5" t="s">
        <v>447</v>
      </c>
      <c r="E114" s="4" t="s">
        <v>588</v>
      </c>
      <c r="F114" s="5" t="s">
        <v>56</v>
      </c>
      <c r="G114" s="19"/>
      <c r="H114" s="4"/>
    </row>
    <row r="115" spans="1:8" ht="15" customHeight="1" x14ac:dyDescent="0.3">
      <c r="A115" s="5">
        <v>114</v>
      </c>
      <c r="B115" s="5" t="s">
        <v>580</v>
      </c>
      <c r="C115" s="4" t="s">
        <v>581</v>
      </c>
      <c r="D115" s="5" t="s">
        <v>447</v>
      </c>
      <c r="E115" s="4" t="s">
        <v>589</v>
      </c>
      <c r="F115" s="5" t="s">
        <v>56</v>
      </c>
      <c r="G115" s="19"/>
      <c r="H115" s="4"/>
    </row>
    <row r="116" spans="1:8" ht="15" customHeight="1" x14ac:dyDescent="0.3">
      <c r="A116" s="5">
        <v>115</v>
      </c>
      <c r="B116" s="5" t="s">
        <v>580</v>
      </c>
      <c r="C116" s="4" t="s">
        <v>581</v>
      </c>
      <c r="D116" s="5" t="s">
        <v>590</v>
      </c>
      <c r="E116" s="4" t="s">
        <v>591</v>
      </c>
      <c r="F116" s="5" t="s">
        <v>56</v>
      </c>
      <c r="G116" s="19"/>
      <c r="H116" s="4"/>
    </row>
    <row r="117" spans="1:8" ht="15" customHeight="1" x14ac:dyDescent="0.3">
      <c r="A117" s="5">
        <v>116</v>
      </c>
      <c r="B117" s="5" t="s">
        <v>580</v>
      </c>
      <c r="C117" s="4" t="s">
        <v>581</v>
      </c>
      <c r="D117" s="5" t="s">
        <v>590</v>
      </c>
      <c r="E117" s="4" t="s">
        <v>592</v>
      </c>
      <c r="F117" s="5" t="s">
        <v>56</v>
      </c>
      <c r="G117" s="19"/>
      <c r="H117" s="4"/>
    </row>
    <row r="118" spans="1:8" ht="15" customHeight="1" x14ac:dyDescent="0.3">
      <c r="A118" s="5">
        <v>117</v>
      </c>
      <c r="B118" s="5" t="s">
        <v>580</v>
      </c>
      <c r="C118" s="4" t="s">
        <v>581</v>
      </c>
      <c r="D118" s="5" t="s">
        <v>590</v>
      </c>
      <c r="E118" s="4" t="s">
        <v>593</v>
      </c>
      <c r="F118" s="5" t="s">
        <v>56</v>
      </c>
      <c r="G118" s="19"/>
      <c r="H118" s="4"/>
    </row>
    <row r="119" spans="1:8" ht="15" customHeight="1" x14ac:dyDescent="0.3">
      <c r="A119" s="5">
        <v>118</v>
      </c>
      <c r="B119" s="5" t="s">
        <v>580</v>
      </c>
      <c r="C119" s="4" t="s">
        <v>581</v>
      </c>
      <c r="D119" s="5" t="s">
        <v>590</v>
      </c>
      <c r="E119" s="4" t="s">
        <v>594</v>
      </c>
      <c r="F119" s="5" t="s">
        <v>56</v>
      </c>
      <c r="G119" s="19"/>
      <c r="H119" s="4"/>
    </row>
    <row r="120" spans="1:8" ht="15" customHeight="1" x14ac:dyDescent="0.3">
      <c r="A120" s="5">
        <v>119</v>
      </c>
      <c r="B120" s="5" t="s">
        <v>580</v>
      </c>
      <c r="C120" s="4" t="s">
        <v>581</v>
      </c>
      <c r="D120" s="5" t="s">
        <v>590</v>
      </c>
      <c r="E120" s="4" t="s">
        <v>595</v>
      </c>
      <c r="F120" s="5" t="s">
        <v>56</v>
      </c>
      <c r="G120" s="19"/>
      <c r="H120" s="4"/>
    </row>
    <row r="121" spans="1:8" ht="15" customHeight="1" x14ac:dyDescent="0.3">
      <c r="A121" s="5">
        <v>120</v>
      </c>
      <c r="B121" s="5" t="s">
        <v>580</v>
      </c>
      <c r="C121" s="4" t="s">
        <v>581</v>
      </c>
      <c r="D121" s="5" t="s">
        <v>488</v>
      </c>
      <c r="E121" s="4" t="s">
        <v>596</v>
      </c>
      <c r="F121" s="5" t="s">
        <v>56</v>
      </c>
      <c r="G121" s="19"/>
      <c r="H121" s="4"/>
    </row>
    <row r="122" spans="1:8" ht="15" customHeight="1" x14ac:dyDescent="0.3">
      <c r="A122" s="5">
        <v>121</v>
      </c>
      <c r="B122" s="5" t="s">
        <v>580</v>
      </c>
      <c r="C122" s="4" t="s">
        <v>581</v>
      </c>
      <c r="D122" s="5" t="s">
        <v>488</v>
      </c>
      <c r="E122" s="4" t="s">
        <v>597</v>
      </c>
      <c r="F122" s="5" t="s">
        <v>56</v>
      </c>
      <c r="G122" s="19"/>
      <c r="H122" s="4"/>
    </row>
    <row r="123" spans="1:8" ht="15" customHeight="1" x14ac:dyDescent="0.3">
      <c r="A123" s="5">
        <v>122</v>
      </c>
      <c r="B123" s="5" t="s">
        <v>580</v>
      </c>
      <c r="C123" s="4" t="s">
        <v>581</v>
      </c>
      <c r="D123" s="5" t="s">
        <v>488</v>
      </c>
      <c r="E123" s="4" t="s">
        <v>598</v>
      </c>
      <c r="F123" s="5" t="s">
        <v>56</v>
      </c>
      <c r="G123" s="19"/>
      <c r="H123" s="4"/>
    </row>
    <row r="124" spans="1:8" ht="15" customHeight="1" x14ac:dyDescent="0.3">
      <c r="A124" s="5">
        <v>123</v>
      </c>
      <c r="B124" s="5" t="s">
        <v>580</v>
      </c>
      <c r="C124" s="4" t="s">
        <v>581</v>
      </c>
      <c r="D124" s="5" t="s">
        <v>488</v>
      </c>
      <c r="E124" s="4" t="s">
        <v>599</v>
      </c>
      <c r="F124" s="5" t="s">
        <v>56</v>
      </c>
      <c r="G124" s="19"/>
      <c r="H124" s="4"/>
    </row>
    <row r="125" spans="1:8" ht="15" customHeight="1" x14ac:dyDescent="0.3">
      <c r="A125" s="5">
        <v>124</v>
      </c>
      <c r="B125" s="5" t="s">
        <v>580</v>
      </c>
      <c r="C125" s="4" t="s">
        <v>581</v>
      </c>
      <c r="D125" s="5" t="s">
        <v>488</v>
      </c>
      <c r="E125" s="4" t="s">
        <v>431</v>
      </c>
      <c r="F125" s="5" t="s">
        <v>56</v>
      </c>
      <c r="G125" s="19"/>
      <c r="H125" s="4"/>
    </row>
    <row r="126" spans="1:8" ht="15" customHeight="1" x14ac:dyDescent="0.3">
      <c r="A126" s="5">
        <v>125</v>
      </c>
      <c r="B126" s="5" t="s">
        <v>600</v>
      </c>
      <c r="C126" s="4" t="s">
        <v>601</v>
      </c>
      <c r="D126" s="5" t="s">
        <v>488</v>
      </c>
      <c r="E126" s="4" t="s">
        <v>602</v>
      </c>
      <c r="F126" s="5" t="s">
        <v>56</v>
      </c>
      <c r="G126" s="19"/>
      <c r="H126" s="4"/>
    </row>
    <row r="127" spans="1:8" ht="15" customHeight="1" x14ac:dyDescent="0.3">
      <c r="A127" s="5">
        <v>126</v>
      </c>
      <c r="B127" s="5" t="s">
        <v>600</v>
      </c>
      <c r="C127" s="4" t="s">
        <v>601</v>
      </c>
      <c r="D127" s="5" t="s">
        <v>488</v>
      </c>
      <c r="E127" s="4" t="s">
        <v>603</v>
      </c>
      <c r="F127" s="5" t="s">
        <v>56</v>
      </c>
      <c r="G127" s="19"/>
      <c r="H127" s="4"/>
    </row>
    <row r="128" spans="1:8" ht="15" customHeight="1" x14ac:dyDescent="0.3">
      <c r="A128" s="5">
        <v>127</v>
      </c>
      <c r="B128" s="5" t="s">
        <v>600</v>
      </c>
      <c r="C128" s="4" t="s">
        <v>601</v>
      </c>
      <c r="D128" s="5" t="s">
        <v>604</v>
      </c>
      <c r="E128" s="4" t="s">
        <v>605</v>
      </c>
      <c r="F128" s="5" t="s">
        <v>56</v>
      </c>
      <c r="G128" s="19"/>
      <c r="H128" s="4"/>
    </row>
    <row r="129" spans="1:8" ht="15" customHeight="1" x14ac:dyDescent="0.3">
      <c r="A129" s="5">
        <v>128</v>
      </c>
      <c r="B129" s="5" t="s">
        <v>600</v>
      </c>
      <c r="C129" s="4" t="s">
        <v>601</v>
      </c>
      <c r="D129" s="5" t="s">
        <v>604</v>
      </c>
      <c r="E129" s="4" t="s">
        <v>606</v>
      </c>
      <c r="F129" s="5" t="s">
        <v>56</v>
      </c>
      <c r="G129" s="19"/>
      <c r="H129" s="4"/>
    </row>
    <row r="130" spans="1:8" ht="15" customHeight="1" x14ac:dyDescent="0.3">
      <c r="A130" s="5">
        <v>129</v>
      </c>
      <c r="B130" s="5" t="s">
        <v>600</v>
      </c>
      <c r="C130" s="4" t="s">
        <v>601</v>
      </c>
      <c r="D130" s="5" t="s">
        <v>604</v>
      </c>
      <c r="E130" s="4" t="s">
        <v>607</v>
      </c>
      <c r="F130" s="5" t="s">
        <v>56</v>
      </c>
      <c r="G130" s="19"/>
      <c r="H130" s="4"/>
    </row>
  </sheetData>
  <autoFilter ref="A1:H130" xr:uid="{00000000-0009-0000-0000-000004000000}"/>
  <conditionalFormatting sqref="F2:F130">
    <cfRule type="cellIs" dxfId="2" priority="2" operator="equal">
      <formula>"Solved"</formula>
    </cfRule>
    <cfRule type="cellIs" dxfId="1" priority="3" operator="equal">
      <formula>"In Progress"</formula>
    </cfRule>
    <cfRule type="cellIs" dxfId="0" priority="4" operator="equal">
      <formula>"Needs Revision"</formula>
    </cfRule>
  </conditionalFormatting>
  <dataValidations count="1">
    <dataValidation type="list" sqref="F2:F130" xr:uid="{00000000-0002-0000-0400-000000000000}">
      <formula1>"Not Started,In Progress,Solved,Needs Revision"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Logic Building</vt:lpstr>
      <vt:lpstr>Logic Plan &amp; Interview</vt:lpstr>
      <vt:lpstr>LeetCode Tracker</vt:lpstr>
      <vt:lpstr>Extra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Chaithanya Priya Bommideni</cp:lastModifiedBy>
  <cp:revision>0</cp:revision>
  <dcterms:created xsi:type="dcterms:W3CDTF">2026-10-27T05:42:06Z</dcterms:created>
  <dcterms:modified xsi:type="dcterms:W3CDTF">2026-10-27T06:18:27Z</dcterms:modified>
  <dc:language>en-US</dc:language>
</cp:coreProperties>
</file>